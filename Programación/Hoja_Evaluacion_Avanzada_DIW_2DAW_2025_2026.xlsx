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Criterios" sheetId="1" state="visible" r:id="rId1"/>
    <sheet xmlns:r="http://schemas.openxmlformats.org/officeDocument/2006/relationships" name="Registro Notas" sheetId="2" state="visible" r:id="rId2"/>
    <sheet xmlns:r="http://schemas.openxmlformats.org/officeDocument/2006/relationships" name="Calculo CEs" sheetId="3" state="visible" r:id="rId3"/>
    <sheet xmlns:r="http://schemas.openxmlformats.org/officeDocument/2006/relationships" name="Calculo RAs" sheetId="4" state="visible" r:id="rId4"/>
    <sheet xmlns:r="http://schemas.openxmlformats.org/officeDocument/2006/relationships" name="Panel de Control" sheetId="5" state="visible" r:id="rId5"/>
    <sheet xmlns:r="http://schemas.openxmlformats.org/officeDocument/2006/relationships" name="Seguimiento Dual y Extraord" sheetId="6" state="visible" r:id="rId6"/>
    <sheet xmlns:r="http://schemas.openxmlformats.org/officeDocument/2006/relationships" name="Guía de Funcionamiento"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Segoe UI"/>
      <b val="1"/>
      <color rgb="00FFFFFF"/>
      <sz val="14"/>
    </font>
    <font>
      <name val="Segoe UI"/>
      <i val="1"/>
      <color rgb="00E2E8F0"/>
      <sz val="10"/>
    </font>
    <font>
      <name val="Segoe UI"/>
      <b val="1"/>
      <color rgb="00FFFFFF"/>
      <sz val="9"/>
    </font>
    <font>
      <name val="Segoe UI"/>
      <b val="1"/>
      <sz val="9"/>
    </font>
    <font>
      <name val="Segoe UI"/>
      <sz val="9"/>
    </font>
    <font>
      <name val="Segoe UI"/>
      <b val="1"/>
      <color rgb="001E3A8A"/>
      <sz val="10"/>
    </font>
    <font>
      <name val="Segoe UI"/>
      <b val="1"/>
      <color rgb="000F172A"/>
      <sz val="9"/>
    </font>
    <font>
      <name val="Segoe UI"/>
      <b val="1"/>
      <color rgb="001E3A8A"/>
      <sz val="9"/>
    </font>
    <font>
      <name val="Segoe UI"/>
      <b val="1"/>
      <color rgb="0015803D"/>
      <sz val="9"/>
    </font>
    <font>
      <name val="Segoe UI"/>
      <b val="1"/>
      <color rgb="0015803D"/>
      <sz val="8"/>
    </font>
    <font>
      <name val="Segoe UI"/>
      <b val="1"/>
      <color rgb="000F172A"/>
      <sz val="10"/>
    </font>
    <font>
      <name val="Segoe UI"/>
      <b val="1"/>
      <color rgb="0064748B"/>
      <sz val="8"/>
    </font>
    <font>
      <name val="Segoe UI"/>
      <b val="1"/>
      <color rgb="000F172A"/>
      <sz val="16"/>
    </font>
    <font>
      <name val="Segoe UI"/>
      <b val="1"/>
      <color rgb="0015803D"/>
      <sz val="16"/>
    </font>
    <font>
      <name val="Segoe UI"/>
      <b val="1"/>
      <color rgb="00DC2626"/>
      <sz val="16"/>
    </font>
    <font>
      <name val="Segoe UI"/>
      <b val="1"/>
      <color rgb="001E3A8A"/>
      <sz val="16"/>
    </font>
    <font>
      <name val="Segoe UI"/>
      <b val="1"/>
      <color rgb="001E3A8A"/>
      <sz val="11"/>
    </font>
  </fonts>
  <fills count="20">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1D4ED8"/>
        <bgColor rgb="001D4ED8"/>
      </patternFill>
    </fill>
    <fill>
      <patternFill patternType="solid">
        <fgColor rgb="000F766E"/>
        <bgColor rgb="000F766E"/>
      </patternFill>
    </fill>
    <fill>
      <patternFill patternType="solid">
        <fgColor rgb="006B21A8"/>
        <bgColor rgb="006B21A8"/>
      </patternFill>
    </fill>
    <fill>
      <patternFill patternType="solid">
        <fgColor rgb="00F8FAFC"/>
        <bgColor rgb="00F8FAFC"/>
      </patternFill>
    </fill>
    <fill>
      <patternFill patternType="solid">
        <fgColor rgb="00FEF3C7"/>
        <bgColor rgb="00FEF3C7"/>
      </patternFill>
    </fill>
    <fill>
      <patternFill patternType="solid">
        <fgColor rgb="00DBEAFE"/>
        <bgColor rgb="00DBEAFE"/>
      </patternFill>
    </fill>
    <fill>
      <patternFill patternType="solid">
        <fgColor rgb="00CCFBF1"/>
        <bgColor rgb="00CCFBF1"/>
      </patternFill>
    </fill>
    <fill>
      <patternFill patternType="solid">
        <fgColor rgb="00DCFCE7"/>
        <bgColor rgb="00DCFCE7"/>
      </patternFill>
    </fill>
    <fill>
      <patternFill patternType="solid">
        <fgColor rgb="00FEF9C3"/>
        <bgColor rgb="00FEF9C3"/>
      </patternFill>
    </fill>
    <fill>
      <patternFill patternType="solid">
        <fgColor rgb="00C2410C"/>
        <bgColor rgb="00C2410C"/>
      </patternFill>
    </fill>
    <fill>
      <patternFill patternType="solid">
        <fgColor rgb="0015803D"/>
        <bgColor rgb="0015803D"/>
      </patternFill>
    </fill>
    <fill>
      <patternFill patternType="solid">
        <fgColor rgb="000369A1"/>
        <bgColor rgb="000369A1"/>
      </patternFill>
    </fill>
    <fill>
      <patternFill patternType="solid">
        <fgColor rgb="00FEE2E2"/>
        <bgColor rgb="00FEE2E2"/>
      </patternFill>
    </fill>
    <fill>
      <patternFill patternType="solid">
        <fgColor rgb="00F3E8FF"/>
        <bgColor rgb="00F3E8FF"/>
      </patternFill>
    </fill>
    <fill>
      <patternFill patternType="solid">
        <fgColor rgb="00EFF6FF"/>
        <bgColor rgb="00EFF6FF"/>
      </patternFill>
    </fill>
    <fill>
      <patternFill patternType="solid">
        <fgColor rgb="00F0FDFA"/>
        <bgColor rgb="00F0FDFA"/>
      </patternFill>
    </fill>
  </fills>
  <borders count="4">
    <border>
      <left/>
      <right/>
      <top/>
      <bottom/>
      <diagonal/>
    </border>
    <border>
      <left style="thin">
        <color rgb="00CBD5E1"/>
      </left>
      <right style="thin">
        <color rgb="00CBD5E1"/>
      </right>
      <top style="thin">
        <color rgb="00CBD5E1"/>
      </top>
      <bottom style="medium">
        <color rgb="0064748B"/>
      </bottom>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0F172A"/>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7" borderId="2" applyAlignment="1" pivotButton="0" quotePrefix="0" xfId="0">
      <alignment horizontal="center" vertical="center" wrapText="1"/>
    </xf>
    <xf numFmtId="164" fontId="5" fillId="7" borderId="2" applyAlignment="1" pivotButton="0" quotePrefix="0" xfId="0">
      <alignment horizontal="center" vertical="center" wrapText="1"/>
    </xf>
    <xf numFmtId="0" fontId="5" fillId="7" borderId="2" applyAlignment="1" pivotButton="0" quotePrefix="0" xfId="0">
      <alignment horizontal="left" vertical="center"/>
    </xf>
    <xf numFmtId="0" fontId="5"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6" fillId="9" borderId="2" applyAlignment="1" pivotButton="0" quotePrefix="0" xfId="0">
      <alignment horizontal="center" vertical="center" wrapText="1"/>
    </xf>
    <xf numFmtId="0" fontId="6" fillId="10" borderId="2" applyAlignment="1" pivotButton="0" quotePrefix="0" xfId="0">
      <alignment horizontal="center" vertical="center" wrapText="1"/>
    </xf>
    <xf numFmtId="10" fontId="5" fillId="7" borderId="2" applyAlignment="1" pivotButton="0" quotePrefix="0" xfId="0">
      <alignment horizontal="center" vertical="center" wrapText="1"/>
    </xf>
    <xf numFmtId="0" fontId="4" fillId="0" borderId="2" applyAlignment="1" pivotButton="0" quotePrefix="0" xfId="0">
      <alignment horizontal="center" vertical="center" wrapText="1"/>
    </xf>
    <xf numFmtId="164" fontId="5" fillId="0" borderId="2" applyAlignment="1" pivotButton="0" quotePrefix="0" xfId="0">
      <alignment horizontal="center" vertical="center" wrapText="1"/>
    </xf>
    <xf numFmtId="0" fontId="5" fillId="0" borderId="2" applyAlignment="1" pivotButton="0" quotePrefix="0" xfId="0">
      <alignment horizontal="left" vertical="center"/>
    </xf>
    <xf numFmtId="0" fontId="5" fillId="0" borderId="2" applyAlignment="1" pivotButton="0" quotePrefix="0" xfId="0">
      <alignment horizontal="center" vertical="center" wrapText="1"/>
    </xf>
    <xf numFmtId="10" fontId="5" fillId="0" borderId="2" applyAlignment="1" pivotButton="0" quotePrefix="0" xfId="0">
      <alignment horizontal="center" vertical="center" wrapText="1"/>
    </xf>
    <xf numFmtId="0" fontId="7" fillId="8" borderId="3" applyAlignment="1" pivotButton="0" quotePrefix="0" xfId="0">
      <alignment horizontal="right" vertical="center"/>
    </xf>
    <xf numFmtId="0" fontId="4" fillId="8" borderId="3" applyAlignment="1" pivotButton="0" quotePrefix="0" xfId="0">
      <alignment horizontal="center" vertical="center" wrapText="1"/>
    </xf>
    <xf numFmtId="0" fontId="4" fillId="11" borderId="3" applyAlignment="1" pivotButton="0" quotePrefix="0" xfId="0">
      <alignment horizontal="center" vertical="center" wrapText="1"/>
    </xf>
    <xf numFmtId="0" fontId="7" fillId="12" borderId="3" applyAlignment="1" pivotButton="0" quotePrefix="0" xfId="0">
      <alignment horizontal="right" vertical="center"/>
    </xf>
    <xf numFmtId="10" fontId="8" fillId="12" borderId="3" applyAlignment="1" pivotButton="0" quotePrefix="0" xfId="0">
      <alignment horizontal="center" vertical="center" wrapText="1"/>
    </xf>
    <xf numFmtId="10" fontId="4" fillId="12" borderId="3" applyAlignment="1" pivotButton="0" quotePrefix="0" xfId="0">
      <alignment horizontal="center" vertical="center" wrapText="1"/>
    </xf>
    <xf numFmtId="0" fontId="7" fillId="11" borderId="3" applyAlignment="1" pivotButton="0" quotePrefix="0" xfId="0">
      <alignment horizontal="right" vertical="center"/>
    </xf>
    <xf numFmtId="10" fontId="9" fillId="11" borderId="3" applyAlignment="1" pivotButton="0" quotePrefix="0" xfId="0">
      <alignment horizontal="center" vertical="center" wrapText="1"/>
    </xf>
    <xf numFmtId="0" fontId="10" fillId="11" borderId="3" applyAlignment="1" pivotButton="0" quotePrefix="0" xfId="0">
      <alignment horizontal="center" vertical="center" wrapText="1"/>
    </xf>
    <xf numFmtId="0" fontId="3" fillId="2"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2" applyAlignment="1" pivotButton="0" quotePrefix="0" xfId="0">
      <alignment horizontal="left" vertical="center"/>
    </xf>
    <xf numFmtId="2" fontId="5" fillId="7" borderId="2" applyAlignment="1" pivotButton="0" quotePrefix="0" xfId="0">
      <alignment horizontal="center" vertical="center" wrapText="1"/>
    </xf>
    <xf numFmtId="2" fontId="4" fillId="9" borderId="2" applyAlignment="1" pivotButton="0" quotePrefix="0" xfId="0">
      <alignment horizontal="center" vertical="center" wrapText="1"/>
    </xf>
    <xf numFmtId="2" fontId="4" fillId="10" borderId="2" applyAlignment="1" pivotButton="0" quotePrefix="0" xfId="0">
      <alignment horizontal="center" vertical="center" wrapText="1"/>
    </xf>
    <xf numFmtId="0" fontId="4" fillId="0" borderId="2" applyAlignment="1" pivotButton="0" quotePrefix="0" xfId="0">
      <alignment horizontal="left" vertical="center"/>
    </xf>
    <xf numFmtId="2" fontId="5" fillId="0" borderId="2" applyAlignment="1" pivotButton="0" quotePrefix="0" xfId="0">
      <alignment horizontal="center" vertical="center" wrapText="1"/>
    </xf>
    <xf numFmtId="0" fontId="7" fillId="8" borderId="3" applyAlignment="1" pivotButton="0" quotePrefix="0" xfId="0">
      <alignment horizontal="center" vertical="center" wrapText="1"/>
    </xf>
    <xf numFmtId="0" fontId="0" fillId="0" borderId="3" pivotButton="0" quotePrefix="0" xfId="0"/>
    <xf numFmtId="2" fontId="4" fillId="8" borderId="3" applyAlignment="1" pivotButton="0" quotePrefix="0" xfId="0">
      <alignment horizontal="center" vertical="center" wrapText="1"/>
    </xf>
    <xf numFmtId="0" fontId="3" fillId="13" borderId="0" applyAlignment="1" pivotButton="0" quotePrefix="0" xfId="0">
      <alignment horizontal="center" vertical="center" wrapText="1"/>
    </xf>
    <xf numFmtId="0" fontId="3" fillId="14" borderId="0" applyAlignment="1" pivotButton="0" quotePrefix="0" xfId="0">
      <alignment horizontal="center" vertical="center" wrapText="1"/>
    </xf>
    <xf numFmtId="0" fontId="3" fillId="15" borderId="0" applyAlignment="1" pivotButton="0" quotePrefix="0" xfId="0">
      <alignment horizontal="center" vertical="center" wrapText="1"/>
    </xf>
    <xf numFmtId="0" fontId="3" fillId="2" borderId="1" applyAlignment="1" pivotButton="0" quotePrefix="0" xfId="0">
      <alignment horizontal="left" vertical="center"/>
    </xf>
    <xf numFmtId="0" fontId="3" fillId="13" borderId="1" applyAlignment="1" pivotButton="0" quotePrefix="0" xfId="0">
      <alignment horizontal="center" vertical="center" wrapText="1"/>
    </xf>
    <xf numFmtId="0" fontId="3" fillId="14" borderId="1" applyAlignment="1" pivotButton="0" quotePrefix="0" xfId="0">
      <alignment horizontal="center" vertical="center" wrapText="1"/>
    </xf>
    <xf numFmtId="0" fontId="3" fillId="15" borderId="1" applyAlignment="1" pivotButton="0" quotePrefix="0" xfId="0">
      <alignment horizontal="center" vertical="center" wrapText="1"/>
    </xf>
    <xf numFmtId="2" fontId="4" fillId="8" borderId="2" applyAlignment="1" pivotButton="0" quotePrefix="0" xfId="0">
      <alignment horizontal="center" vertical="center" wrapText="1"/>
    </xf>
    <xf numFmtId="0" fontId="4" fillId="11" borderId="2" applyAlignment="1" pivotButton="0" quotePrefix="0" xfId="0">
      <alignment horizontal="center" vertical="center" wrapText="1"/>
    </xf>
    <xf numFmtId="2" fontId="11" fillId="8" borderId="2" applyAlignment="1" pivotButton="0" quotePrefix="0" xfId="0">
      <alignment horizontal="center" vertical="center" wrapText="1"/>
    </xf>
    <xf numFmtId="0" fontId="12" fillId="0" borderId="0" applyAlignment="1" pivotButton="0" quotePrefix="0" xfId="0">
      <alignment horizontal="center" vertical="center" wrapText="1"/>
    </xf>
    <xf numFmtId="0" fontId="13" fillId="9" borderId="0" applyAlignment="1" pivotButton="0" quotePrefix="0" xfId="0">
      <alignment horizontal="center" vertical="center" wrapText="1"/>
    </xf>
    <xf numFmtId="0" fontId="14" fillId="11" borderId="0" applyAlignment="1" pivotButton="0" quotePrefix="0" xfId="0">
      <alignment horizontal="center" vertical="center" wrapText="1"/>
    </xf>
    <xf numFmtId="0" fontId="15" fillId="16" borderId="0" applyAlignment="1" pivotButton="0" quotePrefix="0" xfId="0">
      <alignment horizontal="center" vertical="center" wrapText="1"/>
    </xf>
    <xf numFmtId="2" fontId="13" fillId="8" borderId="0" applyAlignment="1" pivotButton="0" quotePrefix="0" xfId="0">
      <alignment horizontal="center" vertical="center" wrapText="1"/>
    </xf>
    <xf numFmtId="164" fontId="16" fillId="17" borderId="0" applyAlignment="1" pivotButton="0" quotePrefix="0" xfId="0">
      <alignment horizontal="center" vertical="center" wrapText="1"/>
    </xf>
    <xf numFmtId="2" fontId="4" fillId="18" borderId="2" applyAlignment="1" pivotButton="0" quotePrefix="0" xfId="0">
      <alignment horizontal="center" vertical="center" wrapText="1"/>
    </xf>
    <xf numFmtId="2" fontId="4" fillId="19" borderId="2" applyAlignment="1" pivotButton="0" quotePrefix="0" xfId="0">
      <alignment horizontal="center" vertical="center" wrapText="1"/>
    </xf>
    <xf numFmtId="0" fontId="0" fillId="8" borderId="3" pivotButton="0" quotePrefix="0" xfId="0"/>
    <xf numFmtId="2" fontId="4" fillId="11" borderId="2" applyAlignment="1" pivotButton="0" quotePrefix="0" xfId="0">
      <alignment horizontal="center" vertical="center" wrapText="1"/>
    </xf>
    <xf numFmtId="0" fontId="17" fillId="9" borderId="1" applyAlignment="1" pivotButton="0" quotePrefix="0" xfId="0">
      <alignment horizontal="left" vertical="center"/>
    </xf>
    <xf numFmtId="0" fontId="5" fillId="7" borderId="2" applyAlignment="1" pivotButton="0" quotePrefix="0" xfId="0">
      <alignment horizontal="left" vertical="top" wrapText="1"/>
    </xf>
  </cellXfs>
  <cellStyles count="1">
    <cellStyle name="Normal" xfId="0" builtinId="0" hidden="0"/>
  </cellStyles>
  <dxfs count="3">
    <dxf>
      <font>
        <b val="1"/>
        <color rgb="0015803D"/>
      </font>
      <fill>
        <patternFill patternType="solid">
          <fgColor rgb="00DCFCE7"/>
          <bgColor rgb="00DCFCE7"/>
        </patternFill>
      </fill>
    </dxf>
    <dxf>
      <font>
        <b val="1"/>
        <color rgb="00DC2626"/>
      </font>
      <fill>
        <patternFill patternType="solid">
          <fgColor rgb="00FEE2E2"/>
          <bgColor rgb="00FEE2E2"/>
        </patternFill>
      </fill>
    </dxf>
    <dxf>
      <font>
        <b val="1"/>
        <color rgb="001D4ED8"/>
      </font>
      <fill>
        <patternFill patternType="solid">
          <fgColor rgb="00DBEAFE"/>
          <bgColor rgb="00DBEAF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showGridLines="1" workbookViewId="0">
      <selection activeCell="A1" sqref="A1"/>
    </sheetView>
  </sheetViews>
  <sheetFormatPr baseColWidth="8" defaultRowHeight="15"/>
  <cols>
    <col width="8" customWidth="1" min="1" max="1"/>
    <col width="9" customWidth="1" min="2" max="2"/>
    <col width="10" customWidth="1" min="3" max="3"/>
    <col width="44" customWidth="1" min="4" max="4"/>
    <col width="14" customWidth="1" min="5" max="5"/>
    <col width="8" customWidth="1" min="6" max="6"/>
    <col width="14"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s>
  <sheetData>
    <row r="1" ht="36" customHeight="1">
      <c r="A1" s="1" t="inlineStr">
        <is>
          <t>MATRIZ DE SELECCIÓN DE CRITERIOS DE EVALUACIÓN POR TAREA — DISEÑO DE INTERFACES WEB (2º DAW)</t>
        </is>
      </c>
    </row>
    <row r="2" ht="20" customHeight="1">
      <c r="A2" s="2" t="inlineStr">
        <is>
          <t>Marca con una 'X' en la casilla correspondiente para activar los criterios evaluados en cada tarea. Los porcentajes de las líneas 52 y 53 se calculan automáticamente.</t>
        </is>
      </c>
    </row>
    <row r="4">
      <c r="A4" s="3" t="inlineStr">
        <is>
          <t>CRITERIOS OFICIALES DE EVALUACIÓN (ORDEN DE 16 DE JUNIO DE 2011 &amp; DECRETO 104/2024)</t>
        </is>
      </c>
      <c r="H4" s="4" t="inlineStr">
        <is>
          <t>1er TRIMESTRE (T1) — TAREAS Y PRUEBAS</t>
        </is>
      </c>
      <c r="O4" s="5" t="inlineStr">
        <is>
          <t>2º TRIMESTRE (T2) — TAREAS, PRUEBAS Y PROYECTO</t>
        </is>
      </c>
      <c r="W4" s="6" t="inlineStr">
        <is>
          <t>Pond. CE
Oficial</t>
        </is>
      </c>
    </row>
    <row r="5" ht="36" customHeight="1">
      <c r="A5" s="7" t="inlineStr">
        <is>
          <t>RA</t>
        </is>
      </c>
      <c r="B5" s="7" t="inlineStr">
        <is>
          <t>Peso RA</t>
        </is>
      </c>
      <c r="C5" s="7" t="inlineStr">
        <is>
          <t>Código CE</t>
        </is>
      </c>
      <c r="D5" s="7" t="inlineStr">
        <is>
          <t>Descripción Oficial del Criterio de Evaluación</t>
        </is>
      </c>
      <c r="E5" s="7" t="inlineStr">
        <is>
          <t>UDs</t>
        </is>
      </c>
      <c r="F5" s="7" t="inlineStr">
        <is>
          <t>Total
Tareas</t>
        </is>
      </c>
      <c r="G5" s="7" t="inlineStr">
        <is>
          <t>Estado Cobertura</t>
        </is>
      </c>
      <c r="H5" s="8" t="inlineStr">
        <is>
          <t>T01
Figma &amp; Estilos</t>
        </is>
      </c>
      <c r="I5" s="8" t="inlineStr">
        <is>
          <t>T02
HTML &amp; CSS Pro</t>
        </is>
      </c>
      <c r="J5" s="8" t="inlineStr">
        <is>
          <t>T03
Flexbox &amp; Grid</t>
        </is>
      </c>
      <c r="K5" s="8" t="inlineStr">
        <is>
          <t>T04
Responsive &amp; TW4</t>
        </is>
      </c>
      <c r="L5" s="8" t="inlineStr">
        <is>
          <t>T05
Multimedia &amp; Legal</t>
        </is>
      </c>
      <c r="M5" s="8" t="inlineStr">
        <is>
          <t>T06
Examen Práctico T1</t>
        </is>
      </c>
      <c r="N5" s="8" t="inlineStr">
        <is>
          <t>T07
Git &amp; W3C T1</t>
        </is>
      </c>
      <c r="O5" s="9" t="inlineStr">
        <is>
          <t>T08
Interactividad CSS</t>
        </is>
      </c>
      <c r="P5" s="9" t="inlineStr">
        <is>
          <t>T09
Angular Signals</t>
        </is>
      </c>
      <c r="Q5" s="9" t="inlineStr">
        <is>
          <t>T10
Servicios &amp; Forms</t>
        </is>
      </c>
      <c r="R5" s="9" t="inlineStr">
        <is>
          <t>T11
Accesibilidad WCAG</t>
        </is>
      </c>
      <c r="S5" s="9" t="inlineStr">
        <is>
          <t>T12
Usabilidad &amp; SUS</t>
        </is>
      </c>
      <c r="T5" s="9" t="inlineStr">
        <is>
          <t>T13
Proyecto Web SPA</t>
        </is>
      </c>
      <c r="U5" s="9" t="inlineStr">
        <is>
          <t>T14
Examen Práctico T2</t>
        </is>
      </c>
      <c r="V5" s="9" t="inlineStr">
        <is>
          <t>T15
Git &amp; Despliegue T2</t>
        </is>
      </c>
    </row>
    <row r="6" ht="24" customHeight="1">
      <c r="A6" s="10" t="inlineStr">
        <is>
          <t>RA1</t>
        </is>
      </c>
      <c r="B6" s="11" t="n">
        <v>0.12</v>
      </c>
      <c r="C6" s="10" t="inlineStr">
        <is>
          <t>CE1.a</t>
        </is>
      </c>
      <c r="D6" s="12" t="inlineStr">
        <is>
          <t>Se ha reconocido la importancia de la comunicación visual y sus principios básicos.</t>
        </is>
      </c>
      <c r="E6" s="13" t="inlineStr">
        <is>
          <t>UD01, UD02</t>
        </is>
      </c>
      <c r="F6" s="14">
        <f>COUNTIF(H6:V6, "X")</f>
        <v/>
      </c>
      <c r="G6" s="10">
        <f>IF(F6&gt;0, "EVALUADO", "SIN EVALUAR")</f>
        <v/>
      </c>
      <c r="H6" s="15" t="inlineStr">
        <is>
          <t>X</t>
        </is>
      </c>
      <c r="I6" s="13" t="inlineStr"/>
      <c r="J6" s="13" t="inlineStr"/>
      <c r="K6" s="13" t="inlineStr"/>
      <c r="L6" s="13" t="inlineStr"/>
      <c r="M6" s="15" t="inlineStr">
        <is>
          <t>X</t>
        </is>
      </c>
      <c r="N6" s="13" t="inlineStr"/>
      <c r="O6" s="13" t="inlineStr"/>
      <c r="P6" s="13" t="inlineStr"/>
      <c r="Q6" s="13" t="inlineStr"/>
      <c r="R6" s="13" t="inlineStr"/>
      <c r="S6" s="13" t="inlineStr"/>
      <c r="T6" s="16" t="inlineStr">
        <is>
          <t>X</t>
        </is>
      </c>
      <c r="U6" s="13" t="inlineStr"/>
      <c r="V6" s="13" t="inlineStr"/>
      <c r="W6" s="17" t="n">
        <v>0.02</v>
      </c>
    </row>
    <row r="7" ht="24" customHeight="1">
      <c r="A7" s="18" t="inlineStr">
        <is>
          <t>RA1</t>
        </is>
      </c>
      <c r="B7" s="19" t="n">
        <v>0.12</v>
      </c>
      <c r="C7" s="18" t="inlineStr">
        <is>
          <t>CE1.b</t>
        </is>
      </c>
      <c r="D7" s="20" t="inlineStr">
        <is>
          <t>Se han analizado y seleccionado los colores y tipografías adecuados para pantalla.</t>
        </is>
      </c>
      <c r="E7" s="21" t="inlineStr">
        <is>
          <t>UD03</t>
        </is>
      </c>
      <c r="F7" s="14">
        <f>COUNTIF(H7:V7, "X")</f>
        <v/>
      </c>
      <c r="G7" s="18">
        <f>IF(F7&gt;0, "EVALUADO", "SIN EVALUAR")</f>
        <v/>
      </c>
      <c r="H7" s="15" t="inlineStr">
        <is>
          <t>X</t>
        </is>
      </c>
      <c r="I7" s="21" t="inlineStr"/>
      <c r="J7" s="21" t="inlineStr"/>
      <c r="K7" s="21" t="inlineStr"/>
      <c r="L7" s="21" t="inlineStr"/>
      <c r="M7" s="15" t="inlineStr">
        <is>
          <t>X</t>
        </is>
      </c>
      <c r="N7" s="21" t="inlineStr"/>
      <c r="O7" s="21" t="inlineStr"/>
      <c r="P7" s="21" t="inlineStr"/>
      <c r="Q7" s="21" t="inlineStr"/>
      <c r="R7" s="21" t="inlineStr"/>
      <c r="S7" s="21" t="inlineStr"/>
      <c r="T7" s="16" t="inlineStr">
        <is>
          <t>X</t>
        </is>
      </c>
      <c r="U7" s="21" t="inlineStr"/>
      <c r="V7" s="21" t="inlineStr"/>
      <c r="W7" s="22" t="n">
        <v>0.02</v>
      </c>
    </row>
    <row r="8" ht="24" customHeight="1">
      <c r="A8" s="10" t="inlineStr">
        <is>
          <t>RA1</t>
        </is>
      </c>
      <c r="B8" s="11" t="n">
        <v>0.12</v>
      </c>
      <c r="C8" s="10" t="inlineStr">
        <is>
          <t>CE1.c</t>
        </is>
      </c>
      <c r="D8" s="12" t="inlineStr">
        <is>
          <t>Se han analizado alternativas para la presentación de información web.</t>
        </is>
      </c>
      <c r="E8" s="13" t="inlineStr">
        <is>
          <t>UD01, UD06</t>
        </is>
      </c>
      <c r="F8" s="14">
        <f>COUNTIF(H8:V8, "X")</f>
        <v/>
      </c>
      <c r="G8" s="10">
        <f>IF(F8&gt;0, "EVALUADO", "SIN EVALUAR")</f>
        <v/>
      </c>
      <c r="H8" s="15" t="inlineStr">
        <is>
          <t>X</t>
        </is>
      </c>
      <c r="I8" s="13" t="inlineStr"/>
      <c r="J8" s="13" t="inlineStr"/>
      <c r="K8" s="13" t="inlineStr"/>
      <c r="L8" s="13" t="inlineStr"/>
      <c r="M8" s="15" t="inlineStr">
        <is>
          <t>X</t>
        </is>
      </c>
      <c r="N8" s="13" t="inlineStr"/>
      <c r="O8" s="13" t="inlineStr"/>
      <c r="P8" s="13" t="inlineStr"/>
      <c r="Q8" s="13" t="inlineStr"/>
      <c r="R8" s="13" t="inlineStr"/>
      <c r="S8" s="13" t="inlineStr"/>
      <c r="T8" s="16" t="inlineStr">
        <is>
          <t>X</t>
        </is>
      </c>
      <c r="U8" s="13" t="inlineStr"/>
      <c r="V8" s="13" t="inlineStr"/>
      <c r="W8" s="17" t="n">
        <v>0.02</v>
      </c>
    </row>
    <row r="9" ht="24" customHeight="1">
      <c r="A9" s="18" t="inlineStr">
        <is>
          <t>RA1</t>
        </is>
      </c>
      <c r="B9" s="19" t="n">
        <v>0.12</v>
      </c>
      <c r="C9" s="18" t="inlineStr">
        <is>
          <t>CE1.d</t>
        </is>
      </c>
      <c r="D9" s="20" t="inlineStr">
        <is>
          <t>Se ha valorado la importancia de definir y aplicar la guía de estilo.</t>
        </is>
      </c>
      <c r="E9" s="21" t="inlineStr">
        <is>
          <t>UD04</t>
        </is>
      </c>
      <c r="F9" s="14">
        <f>COUNTIF(H9:V9, "X")</f>
        <v/>
      </c>
      <c r="G9" s="18">
        <f>IF(F9&gt;0, "EVALUADO", "SIN EVALUAR")</f>
        <v/>
      </c>
      <c r="H9" s="15" t="inlineStr">
        <is>
          <t>X</t>
        </is>
      </c>
      <c r="I9" s="21" t="inlineStr"/>
      <c r="J9" s="21" t="inlineStr"/>
      <c r="K9" s="21" t="inlineStr"/>
      <c r="L9" s="21" t="inlineStr"/>
      <c r="M9" s="15" t="inlineStr">
        <is>
          <t>X</t>
        </is>
      </c>
      <c r="N9" s="15" t="inlineStr">
        <is>
          <t>X</t>
        </is>
      </c>
      <c r="O9" s="21" t="inlineStr"/>
      <c r="P9" s="21" t="inlineStr"/>
      <c r="Q9" s="21" t="inlineStr"/>
      <c r="R9" s="21" t="inlineStr"/>
      <c r="S9" s="21" t="inlineStr"/>
      <c r="T9" s="16" t="inlineStr">
        <is>
          <t>X</t>
        </is>
      </c>
      <c r="U9" s="21" t="inlineStr"/>
      <c r="V9" s="21" t="inlineStr"/>
      <c r="W9" s="22" t="n">
        <v>0.02</v>
      </c>
    </row>
    <row r="10" ht="24" customHeight="1">
      <c r="A10" s="10" t="inlineStr">
        <is>
          <t>RA1</t>
        </is>
      </c>
      <c r="B10" s="11" t="n">
        <v>0.12</v>
      </c>
      <c r="C10" s="10" t="inlineStr">
        <is>
          <t>CE1.e</t>
        </is>
      </c>
      <c r="D10" s="12" t="inlineStr">
        <is>
          <t>Se han utilizado y valorado distintas tecnologías para el diseño web.</t>
        </is>
      </c>
      <c r="E10" s="13" t="inlineStr">
        <is>
          <t>UD01, UD05</t>
        </is>
      </c>
      <c r="F10" s="14">
        <f>COUNTIF(H10:V10, "X")</f>
        <v/>
      </c>
      <c r="G10" s="10">
        <f>IF(F10&gt;0, "EVALUADO", "SIN EVALUAR")</f>
        <v/>
      </c>
      <c r="H10" s="15" t="inlineStr">
        <is>
          <t>X</t>
        </is>
      </c>
      <c r="I10" s="13" t="inlineStr"/>
      <c r="J10" s="13" t="inlineStr"/>
      <c r="K10" s="13" t="inlineStr"/>
      <c r="L10" s="13" t="inlineStr"/>
      <c r="M10" s="15" t="inlineStr">
        <is>
          <t>X</t>
        </is>
      </c>
      <c r="N10" s="13" t="inlineStr"/>
      <c r="O10" s="13" t="inlineStr"/>
      <c r="P10" s="13" t="inlineStr"/>
      <c r="Q10" s="13" t="inlineStr"/>
      <c r="R10" s="13" t="inlineStr"/>
      <c r="S10" s="13" t="inlineStr"/>
      <c r="T10" s="16" t="inlineStr">
        <is>
          <t>X</t>
        </is>
      </c>
      <c r="U10" s="13" t="inlineStr"/>
      <c r="V10" s="13" t="inlineStr"/>
      <c r="W10" s="17" t="n">
        <v>0.02</v>
      </c>
    </row>
    <row r="11" ht="24" customHeight="1">
      <c r="A11" s="18" t="inlineStr">
        <is>
          <t>RA1</t>
        </is>
      </c>
      <c r="B11" s="19" t="n">
        <v>0.12</v>
      </c>
      <c r="C11" s="18" t="inlineStr">
        <is>
          <t>CE1.f</t>
        </is>
      </c>
      <c r="D11" s="20" t="inlineStr">
        <is>
          <t>Se han creado y utilizado plantillas y prototipos de diseño (Figma).</t>
        </is>
      </c>
      <c r="E11" s="21" t="inlineStr">
        <is>
          <t>UD05, UD06</t>
        </is>
      </c>
      <c r="F11" s="14">
        <f>COUNTIF(H11:V11, "X")</f>
        <v/>
      </c>
      <c r="G11" s="18">
        <f>IF(F11&gt;0, "EVALUADO", "SIN EVALUAR")</f>
        <v/>
      </c>
      <c r="H11" s="15" t="inlineStr">
        <is>
          <t>X</t>
        </is>
      </c>
      <c r="I11" s="21" t="inlineStr"/>
      <c r="J11" s="21" t="inlineStr"/>
      <c r="K11" s="21" t="inlineStr"/>
      <c r="L11" s="21" t="inlineStr"/>
      <c r="M11" s="15" t="inlineStr">
        <is>
          <t>X</t>
        </is>
      </c>
      <c r="N11" s="15" t="inlineStr">
        <is>
          <t>X</t>
        </is>
      </c>
      <c r="O11" s="21" t="inlineStr"/>
      <c r="P11" s="21" t="inlineStr"/>
      <c r="Q11" s="21" t="inlineStr"/>
      <c r="R11" s="21" t="inlineStr"/>
      <c r="S11" s="21" t="inlineStr"/>
      <c r="T11" s="16" t="inlineStr">
        <is>
          <t>X</t>
        </is>
      </c>
      <c r="U11" s="21" t="inlineStr"/>
      <c r="V11" s="21" t="inlineStr"/>
      <c r="W11" s="22" t="n">
        <v>0.02</v>
      </c>
    </row>
    <row r="12" ht="24" customHeight="1">
      <c r="A12" s="10" t="inlineStr">
        <is>
          <t>RA2</t>
        </is>
      </c>
      <c r="B12" s="11" t="n">
        <v>0.2</v>
      </c>
      <c r="C12" s="10" t="inlineStr">
        <is>
          <t>CE2.a</t>
        </is>
      </c>
      <c r="D12" s="12" t="inlineStr">
        <is>
          <t>Se han reconocido las posibilidades de modificar las etiquetas HTML.</t>
        </is>
      </c>
      <c r="E12" s="13" t="inlineStr">
        <is>
          <t>UD07</t>
        </is>
      </c>
      <c r="F12" s="14">
        <f>COUNTIF(H12:V12, "X")</f>
        <v/>
      </c>
      <c r="G12" s="10">
        <f>IF(F12&gt;0, "EVALUADO", "SIN EVALUAR")</f>
        <v/>
      </c>
      <c r="H12" s="13" t="inlineStr"/>
      <c r="I12" s="15" t="inlineStr">
        <is>
          <t>X</t>
        </is>
      </c>
      <c r="J12" s="13" t="inlineStr"/>
      <c r="K12" s="13" t="inlineStr"/>
      <c r="L12" s="13" t="inlineStr"/>
      <c r="M12" s="15" t="inlineStr">
        <is>
          <t>X</t>
        </is>
      </c>
      <c r="N12" s="13" t="inlineStr"/>
      <c r="O12" s="13" t="inlineStr"/>
      <c r="P12" s="13" t="inlineStr"/>
      <c r="Q12" s="13" t="inlineStr"/>
      <c r="R12" s="13" t="inlineStr"/>
      <c r="S12" s="13" t="inlineStr"/>
      <c r="T12" s="13" t="inlineStr"/>
      <c r="U12" s="13" t="inlineStr"/>
      <c r="V12" s="13" t="inlineStr"/>
      <c r="W12" s="17" t="n">
        <v>0.02</v>
      </c>
    </row>
    <row r="13" ht="24" customHeight="1">
      <c r="A13" s="18" t="inlineStr">
        <is>
          <t>RA2</t>
        </is>
      </c>
      <c r="B13" s="19" t="n">
        <v>0.2</v>
      </c>
      <c r="C13" s="18" t="inlineStr">
        <is>
          <t>CE2.b</t>
        </is>
      </c>
      <c r="D13" s="20" t="inlineStr">
        <is>
          <t>Se han definido estilos de forma directa.</t>
        </is>
      </c>
      <c r="E13" s="21" t="inlineStr">
        <is>
          <t>UD08</t>
        </is>
      </c>
      <c r="F13" s="14">
        <f>COUNTIF(H13:V13, "X")</f>
        <v/>
      </c>
      <c r="G13" s="18">
        <f>IF(F13&gt;0, "EVALUADO", "SIN EVALUAR")</f>
        <v/>
      </c>
      <c r="H13" s="21" t="inlineStr"/>
      <c r="I13" s="15" t="inlineStr">
        <is>
          <t>X</t>
        </is>
      </c>
      <c r="J13" s="21" t="inlineStr"/>
      <c r="K13" s="21" t="inlineStr"/>
      <c r="L13" s="21" t="inlineStr"/>
      <c r="M13" s="15" t="inlineStr">
        <is>
          <t>X</t>
        </is>
      </c>
      <c r="N13" s="21" t="inlineStr"/>
      <c r="O13" s="21" t="inlineStr"/>
      <c r="P13" s="21" t="inlineStr"/>
      <c r="Q13" s="21" t="inlineStr"/>
      <c r="R13" s="21" t="inlineStr"/>
      <c r="S13" s="21" t="inlineStr"/>
      <c r="T13" s="21" t="inlineStr"/>
      <c r="U13" s="21" t="inlineStr"/>
      <c r="V13" s="21" t="inlineStr"/>
      <c r="W13" s="22" t="n">
        <v>0.02</v>
      </c>
    </row>
    <row r="14" ht="24" customHeight="1">
      <c r="A14" s="10" t="inlineStr">
        <is>
          <t>RA2</t>
        </is>
      </c>
      <c r="B14" s="11" t="n">
        <v>0.2</v>
      </c>
      <c r="C14" s="10" t="inlineStr">
        <is>
          <t>CE2.c</t>
        </is>
      </c>
      <c r="D14" s="12" t="inlineStr">
        <is>
          <t>Se han definido y asociado estilos globales en hojas externas.</t>
        </is>
      </c>
      <c r="E14" s="13" t="inlineStr">
        <is>
          <t>UD08</t>
        </is>
      </c>
      <c r="F14" s="14">
        <f>COUNTIF(H14:V14, "X")</f>
        <v/>
      </c>
      <c r="G14" s="10">
        <f>IF(F14&gt;0, "EVALUADO", "SIN EVALUAR")</f>
        <v/>
      </c>
      <c r="H14" s="13" t="inlineStr"/>
      <c r="I14" s="15" t="inlineStr">
        <is>
          <t>X</t>
        </is>
      </c>
      <c r="J14" s="13" t="inlineStr"/>
      <c r="K14" s="13" t="inlineStr"/>
      <c r="L14" s="13" t="inlineStr"/>
      <c r="M14" s="15" t="inlineStr">
        <is>
          <t>X</t>
        </is>
      </c>
      <c r="N14" s="13" t="inlineStr"/>
      <c r="O14" s="13" t="inlineStr"/>
      <c r="P14" s="13" t="inlineStr"/>
      <c r="Q14" s="13" t="inlineStr"/>
      <c r="R14" s="13" t="inlineStr"/>
      <c r="S14" s="13" t="inlineStr"/>
      <c r="T14" s="16" t="inlineStr">
        <is>
          <t>X</t>
        </is>
      </c>
      <c r="U14" s="13" t="inlineStr"/>
      <c r="V14" s="13" t="inlineStr"/>
      <c r="W14" s="17" t="n">
        <v>0.02</v>
      </c>
    </row>
    <row r="15" ht="24" customHeight="1">
      <c r="A15" s="18" t="inlineStr">
        <is>
          <t>RA2</t>
        </is>
      </c>
      <c r="B15" s="19" t="n">
        <v>0.2</v>
      </c>
      <c r="C15" s="18" t="inlineStr">
        <is>
          <t>CE2.d</t>
        </is>
      </c>
      <c r="D15" s="20" t="inlineStr">
        <is>
          <t>Se han definido hojas de estilos alternativas.</t>
        </is>
      </c>
      <c r="E15" s="21" t="inlineStr">
        <is>
          <t>UD08</t>
        </is>
      </c>
      <c r="F15" s="14">
        <f>COUNTIF(H15:V15, "X")</f>
        <v/>
      </c>
      <c r="G15" s="18">
        <f>IF(F15&gt;0, "EVALUADO", "SIN EVALUAR")</f>
        <v/>
      </c>
      <c r="H15" s="21" t="inlineStr"/>
      <c r="I15" s="15" t="inlineStr">
        <is>
          <t>X</t>
        </is>
      </c>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2" t="n">
        <v>0.02</v>
      </c>
    </row>
    <row r="16" ht="24" customHeight="1">
      <c r="A16" s="10" t="inlineStr">
        <is>
          <t>RA2</t>
        </is>
      </c>
      <c r="B16" s="11" t="n">
        <v>0.2</v>
      </c>
      <c r="C16" s="10" t="inlineStr">
        <is>
          <t>CE2.e</t>
        </is>
      </c>
      <c r="D16" s="12" t="inlineStr">
        <is>
          <t>Se han redefinido estilos (cascada, especificidad, @layer).</t>
        </is>
      </c>
      <c r="E16" s="13" t="inlineStr">
        <is>
          <t>UD08, UD09</t>
        </is>
      </c>
      <c r="F16" s="14">
        <f>COUNTIF(H16:V16, "X")</f>
        <v/>
      </c>
      <c r="G16" s="10">
        <f>IF(F16&gt;0, "EVALUADO", "SIN EVALUAR")</f>
        <v/>
      </c>
      <c r="H16" s="13" t="inlineStr"/>
      <c r="I16" s="15" t="inlineStr">
        <is>
          <t>X</t>
        </is>
      </c>
      <c r="J16" s="15" t="inlineStr">
        <is>
          <t>X</t>
        </is>
      </c>
      <c r="K16" s="13" t="inlineStr"/>
      <c r="L16" s="13" t="inlineStr"/>
      <c r="M16" s="15" t="inlineStr">
        <is>
          <t>X</t>
        </is>
      </c>
      <c r="N16" s="13" t="inlineStr"/>
      <c r="O16" s="13" t="inlineStr"/>
      <c r="P16" s="13" t="inlineStr"/>
      <c r="Q16" s="13" t="inlineStr"/>
      <c r="R16" s="13" t="inlineStr"/>
      <c r="S16" s="13" t="inlineStr"/>
      <c r="T16" s="13" t="inlineStr"/>
      <c r="U16" s="13" t="inlineStr"/>
      <c r="V16" s="13" t="inlineStr"/>
      <c r="W16" s="17" t="n">
        <v>0.02</v>
      </c>
    </row>
    <row r="17" ht="24" customHeight="1">
      <c r="A17" s="18" t="inlineStr">
        <is>
          <t>RA2</t>
        </is>
      </c>
      <c r="B17" s="19" t="n">
        <v>0.2</v>
      </c>
      <c r="C17" s="18" t="inlineStr">
        <is>
          <t>CE2.f</t>
        </is>
      </c>
      <c r="D17" s="20" t="inlineStr">
        <is>
          <t>Se han identificado las distintas propiedades de cada elemento.</t>
        </is>
      </c>
      <c r="E17" s="21" t="inlineStr">
        <is>
          <t>UD08, UD09, UD10</t>
        </is>
      </c>
      <c r="F17" s="14">
        <f>COUNTIF(H17:V17, "X")</f>
        <v/>
      </c>
      <c r="G17" s="18">
        <f>IF(F17&gt;0, "EVALUADO", "SIN EVALUAR")</f>
        <v/>
      </c>
      <c r="H17" s="21" t="inlineStr"/>
      <c r="I17" s="15" t="inlineStr">
        <is>
          <t>X</t>
        </is>
      </c>
      <c r="J17" s="15" t="inlineStr">
        <is>
          <t>X</t>
        </is>
      </c>
      <c r="K17" s="21" t="inlineStr"/>
      <c r="L17" s="21" t="inlineStr"/>
      <c r="M17" s="15" t="inlineStr">
        <is>
          <t>X</t>
        </is>
      </c>
      <c r="N17" s="21" t="inlineStr"/>
      <c r="O17" s="21" t="inlineStr"/>
      <c r="P17" s="21" t="inlineStr"/>
      <c r="Q17" s="21" t="inlineStr"/>
      <c r="R17" s="21" t="inlineStr"/>
      <c r="S17" s="21" t="inlineStr"/>
      <c r="T17" s="21" t="inlineStr"/>
      <c r="U17" s="21" t="inlineStr"/>
      <c r="V17" s="21" t="inlineStr"/>
      <c r="W17" s="22" t="n">
        <v>0.02</v>
      </c>
    </row>
    <row r="18" ht="24" customHeight="1">
      <c r="A18" s="10" t="inlineStr">
        <is>
          <t>RA2</t>
        </is>
      </c>
      <c r="B18" s="11" t="n">
        <v>0.2</v>
      </c>
      <c r="C18" s="10" t="inlineStr">
        <is>
          <t>CE2.g</t>
        </is>
      </c>
      <c r="D18" s="12" t="inlineStr">
        <is>
          <t>Se han creado clases y selectores de estilos (BEM).</t>
        </is>
      </c>
      <c r="E18" s="13" t="inlineStr">
        <is>
          <t>UD08, UD10</t>
        </is>
      </c>
      <c r="F18" s="14">
        <f>COUNTIF(H18:V18, "X")</f>
        <v/>
      </c>
      <c r="G18" s="10">
        <f>IF(F18&gt;0, "EVALUADO", "SIN EVALUAR")</f>
        <v/>
      </c>
      <c r="H18" s="13" t="inlineStr"/>
      <c r="I18" s="15" t="inlineStr">
        <is>
          <t>X</t>
        </is>
      </c>
      <c r="J18" s="15" t="inlineStr">
        <is>
          <t>X</t>
        </is>
      </c>
      <c r="K18" s="13" t="inlineStr"/>
      <c r="L18" s="13" t="inlineStr"/>
      <c r="M18" s="15" t="inlineStr">
        <is>
          <t>X</t>
        </is>
      </c>
      <c r="N18" s="13" t="inlineStr"/>
      <c r="O18" s="13" t="inlineStr"/>
      <c r="P18" s="13" t="inlineStr"/>
      <c r="Q18" s="13" t="inlineStr"/>
      <c r="R18" s="13" t="inlineStr"/>
      <c r="S18" s="13" t="inlineStr"/>
      <c r="T18" s="16" t="inlineStr">
        <is>
          <t>X</t>
        </is>
      </c>
      <c r="U18" s="13" t="inlineStr"/>
      <c r="V18" s="13" t="inlineStr"/>
      <c r="W18" s="17" t="n">
        <v>0.02</v>
      </c>
    </row>
    <row r="19" ht="24" customHeight="1">
      <c r="A19" s="18" t="inlineStr">
        <is>
          <t>RA2</t>
        </is>
      </c>
      <c r="B19" s="19" t="n">
        <v>0.2</v>
      </c>
      <c r="C19" s="18" t="inlineStr">
        <is>
          <t>CE2.h</t>
        </is>
      </c>
      <c r="D19" s="20" t="inlineStr">
        <is>
          <t>Se han utilizado herramientas de validación de hojas de estilos (W3C).</t>
        </is>
      </c>
      <c r="E19" s="21" t="inlineStr">
        <is>
          <t>UD08</t>
        </is>
      </c>
      <c r="F19" s="14">
        <f>COUNTIF(H19:V19, "X")</f>
        <v/>
      </c>
      <c r="G19" s="18">
        <f>IF(F19&gt;0, "EVALUADO", "SIN EVALUAR")</f>
        <v/>
      </c>
      <c r="H19" s="21" t="inlineStr"/>
      <c r="I19" s="15" t="inlineStr">
        <is>
          <t>X</t>
        </is>
      </c>
      <c r="J19" s="21" t="inlineStr"/>
      <c r="K19" s="15" t="inlineStr">
        <is>
          <t>X</t>
        </is>
      </c>
      <c r="L19" s="21" t="inlineStr"/>
      <c r="M19" s="21" t="inlineStr"/>
      <c r="N19" s="15" t="inlineStr">
        <is>
          <t>X</t>
        </is>
      </c>
      <c r="O19" s="21" t="inlineStr"/>
      <c r="P19" s="21" t="inlineStr"/>
      <c r="Q19" s="21" t="inlineStr"/>
      <c r="R19" s="21" t="inlineStr"/>
      <c r="S19" s="21" t="inlineStr"/>
      <c r="T19" s="21" t="inlineStr"/>
      <c r="U19" s="21" t="inlineStr"/>
      <c r="V19" s="16" t="inlineStr">
        <is>
          <t>X</t>
        </is>
      </c>
      <c r="W19" s="22" t="n">
        <v>0.02</v>
      </c>
    </row>
    <row r="20" ht="24" customHeight="1">
      <c r="A20" s="10" t="inlineStr">
        <is>
          <t>RA2</t>
        </is>
      </c>
      <c r="B20" s="11" t="n">
        <v>0.2</v>
      </c>
      <c r="C20" s="10" t="inlineStr">
        <is>
          <t>CE2.i</t>
        </is>
      </c>
      <c r="D20" s="12" t="inlineStr">
        <is>
          <t>Se han utilizado tecnologías y frameworks responsive (Grid, Tailwind 4).</t>
        </is>
      </c>
      <c r="E20" s="13" t="inlineStr">
        <is>
          <t>UD10, UD11, UD17</t>
        </is>
      </c>
      <c r="F20" s="14">
        <f>COUNTIF(H20:V20, "X")</f>
        <v/>
      </c>
      <c r="G20" s="10">
        <f>IF(F20&gt;0, "EVALUADO", "SIN EVALUAR")</f>
        <v/>
      </c>
      <c r="H20" s="13" t="inlineStr"/>
      <c r="I20" s="13" t="inlineStr"/>
      <c r="J20" s="15" t="inlineStr">
        <is>
          <t>X</t>
        </is>
      </c>
      <c r="K20" s="15" t="inlineStr">
        <is>
          <t>X</t>
        </is>
      </c>
      <c r="L20" s="13" t="inlineStr"/>
      <c r="M20" s="15" t="inlineStr">
        <is>
          <t>X</t>
        </is>
      </c>
      <c r="N20" s="13" t="inlineStr"/>
      <c r="O20" s="13" t="inlineStr"/>
      <c r="P20" s="13" t="inlineStr"/>
      <c r="Q20" s="13" t="inlineStr"/>
      <c r="R20" s="13" t="inlineStr"/>
      <c r="S20" s="13" t="inlineStr"/>
      <c r="T20" s="16" t="inlineStr">
        <is>
          <t>X</t>
        </is>
      </c>
      <c r="U20" s="16" t="inlineStr">
        <is>
          <t>X</t>
        </is>
      </c>
      <c r="V20" s="13" t="inlineStr"/>
      <c r="W20" s="17" t="n">
        <v>0.02</v>
      </c>
    </row>
    <row r="21" ht="24" customHeight="1">
      <c r="A21" s="18" t="inlineStr">
        <is>
          <t>RA2</t>
        </is>
      </c>
      <c r="B21" s="19" t="n">
        <v>0.2</v>
      </c>
      <c r="C21" s="18" t="inlineStr">
        <is>
          <t>CE2.j</t>
        </is>
      </c>
      <c r="D21" s="20" t="inlineStr">
        <is>
          <t>Se han analizado y utilizado preprocesadores de estilos (Sass/SCSS).</t>
        </is>
      </c>
      <c r="E21" s="21" t="inlineStr">
        <is>
          <t>UD18</t>
        </is>
      </c>
      <c r="F21" s="14">
        <f>COUNTIF(H21:V21, "X")</f>
        <v/>
      </c>
      <c r="G21" s="18">
        <f>IF(F21&gt;0, "EVALUADO", "SIN EVALUAR")</f>
        <v/>
      </c>
      <c r="H21" s="21" t="inlineStr"/>
      <c r="I21" s="21" t="inlineStr"/>
      <c r="J21" s="21" t="inlineStr"/>
      <c r="K21" s="15" t="inlineStr">
        <is>
          <t>X</t>
        </is>
      </c>
      <c r="L21" s="21" t="inlineStr"/>
      <c r="M21" s="21" t="inlineStr"/>
      <c r="N21" s="21" t="inlineStr"/>
      <c r="O21" s="21" t="inlineStr"/>
      <c r="P21" s="21" t="inlineStr"/>
      <c r="Q21" s="21" t="inlineStr"/>
      <c r="R21" s="21" t="inlineStr"/>
      <c r="S21" s="21" t="inlineStr"/>
      <c r="T21" s="16" t="inlineStr">
        <is>
          <t>X</t>
        </is>
      </c>
      <c r="U21" s="21" t="inlineStr"/>
      <c r="V21" s="21" t="inlineStr"/>
      <c r="W21" s="22" t="n">
        <v>0.02</v>
      </c>
    </row>
    <row r="22" ht="24" customHeight="1">
      <c r="A22" s="10" t="inlineStr">
        <is>
          <t>RA3</t>
        </is>
      </c>
      <c r="B22" s="11" t="n">
        <v>0.16</v>
      </c>
      <c r="C22" s="10" t="inlineStr">
        <is>
          <t>CE3.a</t>
        </is>
      </c>
      <c r="D22" s="12" t="inlineStr">
        <is>
          <t>Se han reconocido las implicaciones de licencias y derechos de autor (TRLPI/CC).</t>
        </is>
      </c>
      <c r="E22" s="13" t="inlineStr">
        <is>
          <t>UD19</t>
        </is>
      </c>
      <c r="F22" s="14">
        <f>COUNTIF(H22:V22, "X")</f>
        <v/>
      </c>
      <c r="G22" s="10">
        <f>IF(F22&gt;0, "EVALUADO", "SIN EVALUAR")</f>
        <v/>
      </c>
      <c r="H22" s="13" t="inlineStr"/>
      <c r="I22" s="13" t="inlineStr"/>
      <c r="J22" s="13" t="inlineStr"/>
      <c r="K22" s="13" t="inlineStr"/>
      <c r="L22" s="15" t="inlineStr">
        <is>
          <t>X</t>
        </is>
      </c>
      <c r="M22" s="15" t="inlineStr">
        <is>
          <t>X</t>
        </is>
      </c>
      <c r="N22" s="13" t="inlineStr"/>
      <c r="O22" s="13" t="inlineStr"/>
      <c r="P22" s="13" t="inlineStr"/>
      <c r="Q22" s="13" t="inlineStr"/>
      <c r="R22" s="13" t="inlineStr"/>
      <c r="S22" s="13" t="inlineStr"/>
      <c r="T22" s="13" t="inlineStr"/>
      <c r="U22" s="13" t="inlineStr"/>
      <c r="V22" s="13" t="inlineStr"/>
      <c r="W22" s="17" t="n">
        <v>0.02</v>
      </c>
    </row>
    <row r="23" ht="24" customHeight="1">
      <c r="A23" s="18" t="inlineStr">
        <is>
          <t>RA3</t>
        </is>
      </c>
      <c r="B23" s="19" t="n">
        <v>0.16</v>
      </c>
      <c r="C23" s="18" t="inlineStr">
        <is>
          <t>CE3.b</t>
        </is>
      </c>
      <c r="D23" s="20" t="inlineStr">
        <is>
          <t>Se han identificado formatos de imagen, audio y vídeo (WebP, AVIF, SVG).</t>
        </is>
      </c>
      <c r="E23" s="21" t="inlineStr">
        <is>
          <t>UD12</t>
        </is>
      </c>
      <c r="F23" s="14">
        <f>COUNTIF(H23:V23, "X")</f>
        <v/>
      </c>
      <c r="G23" s="18">
        <f>IF(F23&gt;0, "EVALUADO", "SIN EVALUAR")</f>
        <v/>
      </c>
      <c r="H23" s="21" t="inlineStr"/>
      <c r="I23" s="21" t="inlineStr"/>
      <c r="J23" s="21" t="inlineStr"/>
      <c r="K23" s="21" t="inlineStr"/>
      <c r="L23" s="15" t="inlineStr">
        <is>
          <t>X</t>
        </is>
      </c>
      <c r="M23" s="15" t="inlineStr">
        <is>
          <t>X</t>
        </is>
      </c>
      <c r="N23" s="21" t="inlineStr"/>
      <c r="O23" s="21" t="inlineStr"/>
      <c r="P23" s="21" t="inlineStr"/>
      <c r="Q23" s="21" t="inlineStr"/>
      <c r="R23" s="21" t="inlineStr"/>
      <c r="S23" s="21" t="inlineStr"/>
      <c r="T23" s="16" t="inlineStr">
        <is>
          <t>X</t>
        </is>
      </c>
      <c r="U23" s="21" t="inlineStr"/>
      <c r="V23" s="21" t="inlineStr"/>
      <c r="W23" s="22" t="n">
        <v>0.02</v>
      </c>
    </row>
    <row r="24" ht="24" customHeight="1">
      <c r="A24" s="10" t="inlineStr">
        <is>
          <t>RA3</t>
        </is>
      </c>
      <c r="B24" s="11" t="n">
        <v>0.16</v>
      </c>
      <c r="C24" s="10" t="inlineStr">
        <is>
          <t>CE3.c</t>
        </is>
      </c>
      <c r="D24" s="12" t="inlineStr">
        <is>
          <t>Se han analizado herramientas para generar contenido multimedia.</t>
        </is>
      </c>
      <c r="E24" s="13" t="inlineStr">
        <is>
          <t>UD12</t>
        </is>
      </c>
      <c r="F24" s="14">
        <f>COUNTIF(H24:V24, "X")</f>
        <v/>
      </c>
      <c r="G24" s="10">
        <f>IF(F24&gt;0, "EVALUADO", "SIN EVALUAR")</f>
        <v/>
      </c>
      <c r="H24" s="13" t="inlineStr"/>
      <c r="I24" s="13" t="inlineStr"/>
      <c r="J24" s="13" t="inlineStr"/>
      <c r="K24" s="13" t="inlineStr"/>
      <c r="L24" s="15" t="inlineStr">
        <is>
          <t>X</t>
        </is>
      </c>
      <c r="M24" s="13" t="inlineStr"/>
      <c r="N24" s="13" t="inlineStr"/>
      <c r="O24" s="13" t="inlineStr"/>
      <c r="P24" s="13" t="inlineStr"/>
      <c r="Q24" s="13" t="inlineStr"/>
      <c r="R24" s="13" t="inlineStr"/>
      <c r="S24" s="13" t="inlineStr"/>
      <c r="T24" s="13" t="inlineStr"/>
      <c r="U24" s="13" t="inlineStr"/>
      <c r="V24" s="13" t="inlineStr"/>
      <c r="W24" s="17" t="n">
        <v>0.02</v>
      </c>
    </row>
    <row r="25" ht="24" customHeight="1">
      <c r="A25" s="18" t="inlineStr">
        <is>
          <t>RA3</t>
        </is>
      </c>
      <c r="B25" s="19" t="n">
        <v>0.16</v>
      </c>
      <c r="C25" s="18" t="inlineStr">
        <is>
          <t>CE3.d</t>
        </is>
      </c>
      <c r="D25" s="20" t="inlineStr">
        <is>
          <t>Se han empleado herramientas para el tratamiento digital de la imagen.</t>
        </is>
      </c>
      <c r="E25" s="21" t="inlineStr">
        <is>
          <t>UD12</t>
        </is>
      </c>
      <c r="F25" s="14">
        <f>COUNTIF(H25:V25, "X")</f>
        <v/>
      </c>
      <c r="G25" s="18">
        <f>IF(F25&gt;0, "EVALUADO", "SIN EVALUAR")</f>
        <v/>
      </c>
      <c r="H25" s="21" t="inlineStr"/>
      <c r="I25" s="21" t="inlineStr"/>
      <c r="J25" s="21" t="inlineStr"/>
      <c r="K25" s="21" t="inlineStr"/>
      <c r="L25" s="15" t="inlineStr">
        <is>
          <t>X</t>
        </is>
      </c>
      <c r="M25" s="21" t="inlineStr"/>
      <c r="N25" s="21" t="inlineStr"/>
      <c r="O25" s="21" t="inlineStr"/>
      <c r="P25" s="21" t="inlineStr"/>
      <c r="Q25" s="21" t="inlineStr"/>
      <c r="R25" s="21" t="inlineStr"/>
      <c r="S25" s="21" t="inlineStr"/>
      <c r="T25" s="16" t="inlineStr">
        <is>
          <t>X</t>
        </is>
      </c>
      <c r="U25" s="21" t="inlineStr"/>
      <c r="V25" s="21" t="inlineStr"/>
      <c r="W25" s="22" t="n">
        <v>0.02</v>
      </c>
    </row>
    <row r="26" ht="24" customHeight="1">
      <c r="A26" s="10" t="inlineStr">
        <is>
          <t>RA3</t>
        </is>
      </c>
      <c r="B26" s="11" t="n">
        <v>0.16</v>
      </c>
      <c r="C26" s="10" t="inlineStr">
        <is>
          <t>CE3.e</t>
        </is>
      </c>
      <c r="D26" s="12" t="inlineStr">
        <is>
          <t>Se han utilizado herramientas para manipular audio y vídeo (HTML5 track).</t>
        </is>
      </c>
      <c r="E26" s="13" t="inlineStr">
        <is>
          <t>UD12</t>
        </is>
      </c>
      <c r="F26" s="14">
        <f>COUNTIF(H26:V26, "X")</f>
        <v/>
      </c>
      <c r="G26" s="10">
        <f>IF(F26&gt;0, "EVALUADO", "SIN EVALUAR")</f>
        <v/>
      </c>
      <c r="H26" s="13" t="inlineStr"/>
      <c r="I26" s="13" t="inlineStr"/>
      <c r="J26" s="13" t="inlineStr"/>
      <c r="K26" s="13" t="inlineStr"/>
      <c r="L26" s="15" t="inlineStr">
        <is>
          <t>X</t>
        </is>
      </c>
      <c r="M26" s="13" t="inlineStr"/>
      <c r="N26" s="13" t="inlineStr"/>
      <c r="O26" s="13" t="inlineStr"/>
      <c r="P26" s="13" t="inlineStr"/>
      <c r="Q26" s="13" t="inlineStr"/>
      <c r="R26" s="13" t="inlineStr"/>
      <c r="S26" s="13" t="inlineStr"/>
      <c r="T26" s="16" t="inlineStr">
        <is>
          <t>X</t>
        </is>
      </c>
      <c r="U26" s="13" t="inlineStr"/>
      <c r="V26" s="13" t="inlineStr"/>
      <c r="W26" s="17" t="n">
        <v>0.02</v>
      </c>
    </row>
    <row r="27" ht="24" customHeight="1">
      <c r="A27" s="18" t="inlineStr">
        <is>
          <t>RA3</t>
        </is>
      </c>
      <c r="B27" s="19" t="n">
        <v>0.16</v>
      </c>
      <c r="C27" s="18" t="inlineStr">
        <is>
          <t>CE3.f</t>
        </is>
      </c>
      <c r="D27" s="20" t="inlineStr">
        <is>
          <t>Se han realizado animaciones a partir de imágenes fijas.</t>
        </is>
      </c>
      <c r="E27" s="21" t="inlineStr">
        <is>
          <t>UD12, UD13</t>
        </is>
      </c>
      <c r="F27" s="14">
        <f>COUNTIF(H27:V27, "X")</f>
        <v/>
      </c>
      <c r="G27" s="18">
        <f>IF(F27&gt;0, "EVALUADO", "SIN EVALUAR")</f>
        <v/>
      </c>
      <c r="H27" s="21" t="inlineStr"/>
      <c r="I27" s="21" t="inlineStr"/>
      <c r="J27" s="21" t="inlineStr"/>
      <c r="K27" s="21" t="inlineStr"/>
      <c r="L27" s="15" t="inlineStr">
        <is>
          <t>X</t>
        </is>
      </c>
      <c r="M27" s="21" t="inlineStr"/>
      <c r="N27" s="21" t="inlineStr"/>
      <c r="O27" s="16" t="inlineStr">
        <is>
          <t>X</t>
        </is>
      </c>
      <c r="P27" s="21" t="inlineStr"/>
      <c r="Q27" s="21" t="inlineStr"/>
      <c r="R27" s="21" t="inlineStr"/>
      <c r="S27" s="21" t="inlineStr"/>
      <c r="T27" s="16" t="inlineStr">
        <is>
          <t>X</t>
        </is>
      </c>
      <c r="U27" s="21" t="inlineStr"/>
      <c r="V27" s="21" t="inlineStr"/>
      <c r="W27" s="22" t="n">
        <v>0.02</v>
      </c>
    </row>
    <row r="28" ht="24" customHeight="1">
      <c r="A28" s="10" t="inlineStr">
        <is>
          <t>RA3</t>
        </is>
      </c>
      <c r="B28" s="11" t="n">
        <v>0.16</v>
      </c>
      <c r="C28" s="10" t="inlineStr">
        <is>
          <t>CE3.g</t>
        </is>
      </c>
      <c r="D28" s="12" t="inlineStr">
        <is>
          <t>Se han importado y exportado recursos multimedia en diversos formatos.</t>
        </is>
      </c>
      <c r="E28" s="13" t="inlineStr">
        <is>
          <t>UD12</t>
        </is>
      </c>
      <c r="F28" s="14">
        <f>COUNTIF(H28:V28, "X")</f>
        <v/>
      </c>
      <c r="G28" s="10">
        <f>IF(F28&gt;0, "EVALUADO", "SIN EVALUAR")</f>
        <v/>
      </c>
      <c r="H28" s="13" t="inlineStr"/>
      <c r="I28" s="13" t="inlineStr"/>
      <c r="J28" s="13" t="inlineStr"/>
      <c r="K28" s="13" t="inlineStr"/>
      <c r="L28" s="15" t="inlineStr">
        <is>
          <t>X</t>
        </is>
      </c>
      <c r="M28" s="13" t="inlineStr"/>
      <c r="N28" s="13" t="inlineStr"/>
      <c r="O28" s="13" t="inlineStr"/>
      <c r="P28" s="13" t="inlineStr"/>
      <c r="Q28" s="13" t="inlineStr"/>
      <c r="R28" s="13" t="inlineStr"/>
      <c r="S28" s="13" t="inlineStr"/>
      <c r="T28" s="16" t="inlineStr">
        <is>
          <t>X</t>
        </is>
      </c>
      <c r="U28" s="13" t="inlineStr"/>
      <c r="V28" s="13" t="inlineStr"/>
      <c r="W28" s="17" t="n">
        <v>0.02</v>
      </c>
    </row>
    <row r="29" ht="24" customHeight="1">
      <c r="A29" s="18" t="inlineStr">
        <is>
          <t>RA3</t>
        </is>
      </c>
      <c r="B29" s="19" t="n">
        <v>0.16</v>
      </c>
      <c r="C29" s="18" t="inlineStr">
        <is>
          <t>CE3.h</t>
        </is>
      </c>
      <c r="D29" s="20" t="inlineStr">
        <is>
          <t>Se ha aplicado la guía de estilo al material multimedia.</t>
        </is>
      </c>
      <c r="E29" s="21" t="inlineStr">
        <is>
          <t>UD04, UD12</t>
        </is>
      </c>
      <c r="F29" s="14">
        <f>COUNTIF(H29:V29, "X")</f>
        <v/>
      </c>
      <c r="G29" s="18">
        <f>IF(F29&gt;0, "EVALUADO", "SIN EVALUAR")</f>
        <v/>
      </c>
      <c r="H29" s="21" t="inlineStr"/>
      <c r="I29" s="21" t="inlineStr"/>
      <c r="J29" s="21" t="inlineStr"/>
      <c r="K29" s="21" t="inlineStr"/>
      <c r="L29" s="15" t="inlineStr">
        <is>
          <t>X</t>
        </is>
      </c>
      <c r="M29" s="21" t="inlineStr"/>
      <c r="N29" s="15" t="inlineStr">
        <is>
          <t>X</t>
        </is>
      </c>
      <c r="O29" s="21" t="inlineStr"/>
      <c r="P29" s="21" t="inlineStr"/>
      <c r="Q29" s="21" t="inlineStr"/>
      <c r="R29" s="21" t="inlineStr"/>
      <c r="S29" s="21" t="inlineStr"/>
      <c r="T29" s="16" t="inlineStr">
        <is>
          <t>X</t>
        </is>
      </c>
      <c r="U29" s="21" t="inlineStr"/>
      <c r="V29" s="21" t="inlineStr"/>
      <c r="W29" s="22" t="n">
        <v>0.02</v>
      </c>
    </row>
    <row r="30" ht="24" customHeight="1">
      <c r="A30" s="10" t="inlineStr">
        <is>
          <t>RA4</t>
        </is>
      </c>
      <c r="B30" s="11" t="n">
        <v>0.24</v>
      </c>
      <c r="C30" s="10" t="inlineStr">
        <is>
          <t>CE4.a</t>
        </is>
      </c>
      <c r="D30" s="12" t="inlineStr">
        <is>
          <t>Se han reconocido tecnologías de inclusión de contenido interactivo.</t>
        </is>
      </c>
      <c r="E30" s="13" t="inlineStr">
        <is>
          <t>UD13</t>
        </is>
      </c>
      <c r="F30" s="14">
        <f>COUNTIF(H30:V30, "X")</f>
        <v/>
      </c>
      <c r="G30" s="10">
        <f>IF(F30&gt;0, "EVALUADO", "SIN EVALUAR")</f>
        <v/>
      </c>
      <c r="H30" s="13" t="inlineStr"/>
      <c r="I30" s="13" t="inlineStr"/>
      <c r="J30" s="13" t="inlineStr"/>
      <c r="K30" s="13" t="inlineStr"/>
      <c r="L30" s="13" t="inlineStr"/>
      <c r="M30" s="13" t="inlineStr"/>
      <c r="N30" s="13" t="inlineStr"/>
      <c r="O30" s="16" t="inlineStr">
        <is>
          <t>X</t>
        </is>
      </c>
      <c r="P30" s="13" t="inlineStr"/>
      <c r="Q30" s="13" t="inlineStr"/>
      <c r="R30" s="13" t="inlineStr"/>
      <c r="S30" s="13" t="inlineStr"/>
      <c r="T30" s="16" t="inlineStr">
        <is>
          <t>X</t>
        </is>
      </c>
      <c r="U30" s="13" t="inlineStr"/>
      <c r="V30" s="13" t="inlineStr"/>
      <c r="W30" s="17" t="n">
        <v>0.02</v>
      </c>
    </row>
    <row r="31" ht="24" customHeight="1">
      <c r="A31" s="18" t="inlineStr">
        <is>
          <t>RA4</t>
        </is>
      </c>
      <c r="B31" s="19" t="n">
        <v>0.24</v>
      </c>
      <c r="C31" s="18" t="inlineStr">
        <is>
          <t>CE4.b</t>
        </is>
      </c>
      <c r="D31" s="20" t="inlineStr">
        <is>
          <t>Se han configurado navegadores para contenido multimedia e interactivo.</t>
        </is>
      </c>
      <c r="E31" s="21" t="inlineStr">
        <is>
          <t>UD13</t>
        </is>
      </c>
      <c r="F31" s="14">
        <f>COUNTIF(H31:V31, "X")</f>
        <v/>
      </c>
      <c r="G31" s="18">
        <f>IF(F31&gt;0, "EVALUADO", "SIN EVALUAR")</f>
        <v/>
      </c>
      <c r="H31" s="21" t="inlineStr"/>
      <c r="I31" s="21" t="inlineStr"/>
      <c r="J31" s="21" t="inlineStr"/>
      <c r="K31" s="21" t="inlineStr"/>
      <c r="L31" s="21" t="inlineStr"/>
      <c r="M31" s="21" t="inlineStr"/>
      <c r="N31" s="21" t="inlineStr"/>
      <c r="O31" s="16" t="inlineStr">
        <is>
          <t>X</t>
        </is>
      </c>
      <c r="P31" s="21" t="inlineStr"/>
      <c r="Q31" s="21" t="inlineStr"/>
      <c r="R31" s="21" t="inlineStr"/>
      <c r="S31" s="21" t="inlineStr"/>
      <c r="T31" s="21" t="inlineStr"/>
      <c r="U31" s="21" t="inlineStr"/>
      <c r="V31" s="21" t="inlineStr"/>
      <c r="W31" s="22" t="n">
        <v>0.02</v>
      </c>
    </row>
    <row r="32" ht="24" customHeight="1">
      <c r="A32" s="10" t="inlineStr">
        <is>
          <t>RA4</t>
        </is>
      </c>
      <c r="B32" s="11" t="n">
        <v>0.24</v>
      </c>
      <c r="C32" s="10" t="inlineStr">
        <is>
          <t>CE4.c</t>
        </is>
      </c>
      <c r="D32" s="12" t="inlineStr">
        <is>
          <t>Se han utilizado herramientas gráficas para contenido interactivo.</t>
        </is>
      </c>
      <c r="E32" s="13" t="inlineStr">
        <is>
          <t>UD13, UD21</t>
        </is>
      </c>
      <c r="F32" s="14">
        <f>COUNTIF(H32:V32, "X")</f>
        <v/>
      </c>
      <c r="G32" s="10">
        <f>IF(F32&gt;0, "EVALUADO", "SIN EVALUAR")</f>
        <v/>
      </c>
      <c r="H32" s="13" t="inlineStr"/>
      <c r="I32" s="13" t="inlineStr"/>
      <c r="J32" s="13" t="inlineStr"/>
      <c r="K32" s="13" t="inlineStr"/>
      <c r="L32" s="13" t="inlineStr"/>
      <c r="M32" s="13" t="inlineStr"/>
      <c r="N32" s="13" t="inlineStr"/>
      <c r="O32" s="16" t="inlineStr">
        <is>
          <t>X</t>
        </is>
      </c>
      <c r="P32" s="16" t="inlineStr">
        <is>
          <t>X</t>
        </is>
      </c>
      <c r="Q32" s="13" t="inlineStr"/>
      <c r="R32" s="13" t="inlineStr"/>
      <c r="S32" s="13" t="inlineStr"/>
      <c r="T32" s="16" t="inlineStr">
        <is>
          <t>X</t>
        </is>
      </c>
      <c r="U32" s="13" t="inlineStr"/>
      <c r="V32" s="13" t="inlineStr"/>
      <c r="W32" s="17" t="n">
        <v>0.04</v>
      </c>
    </row>
    <row r="33" ht="24" customHeight="1">
      <c r="A33" s="18" t="inlineStr">
        <is>
          <t>RA4</t>
        </is>
      </c>
      <c r="B33" s="19" t="n">
        <v>0.24</v>
      </c>
      <c r="C33" s="18" t="inlineStr">
        <is>
          <t>CE4.d</t>
        </is>
      </c>
      <c r="D33" s="20" t="inlineStr">
        <is>
          <t>Se ha analizado el código generado por herramientas interactivas.</t>
        </is>
      </c>
      <c r="E33" s="21" t="inlineStr">
        <is>
          <t>UD13, UD21, UD22</t>
        </is>
      </c>
      <c r="F33" s="14">
        <f>COUNTIF(H33:V33, "X")</f>
        <v/>
      </c>
      <c r="G33" s="18">
        <f>IF(F33&gt;0, "EVALUADO", "SIN EVALUAR")</f>
        <v/>
      </c>
      <c r="H33" s="21" t="inlineStr"/>
      <c r="I33" s="21" t="inlineStr"/>
      <c r="J33" s="21" t="inlineStr"/>
      <c r="K33" s="21" t="inlineStr"/>
      <c r="L33" s="21" t="inlineStr"/>
      <c r="M33" s="21" t="inlineStr"/>
      <c r="N33" s="21" t="inlineStr"/>
      <c r="O33" s="16" t="inlineStr">
        <is>
          <t>X</t>
        </is>
      </c>
      <c r="P33" s="16" t="inlineStr">
        <is>
          <t>X</t>
        </is>
      </c>
      <c r="Q33" s="16" t="inlineStr">
        <is>
          <t>X</t>
        </is>
      </c>
      <c r="R33" s="21" t="inlineStr"/>
      <c r="S33" s="21" t="inlineStr"/>
      <c r="T33" s="16" t="inlineStr">
        <is>
          <t>X</t>
        </is>
      </c>
      <c r="U33" s="16" t="inlineStr">
        <is>
          <t>X</t>
        </is>
      </c>
      <c r="V33" s="21" t="inlineStr"/>
      <c r="W33" s="22" t="n">
        <v>0.04</v>
      </c>
    </row>
    <row r="34" ht="24" customHeight="1">
      <c r="A34" s="10" t="inlineStr">
        <is>
          <t>RA4</t>
        </is>
      </c>
      <c r="B34" s="11" t="n">
        <v>0.24</v>
      </c>
      <c r="C34" s="10" t="inlineStr">
        <is>
          <t>CE4.e</t>
        </is>
      </c>
      <c r="D34" s="12" t="inlineStr">
        <is>
          <t>Se han agregado elementos multimedia a documentos web.</t>
        </is>
      </c>
      <c r="E34" s="13" t="inlineStr">
        <is>
          <t>UD12, UD13</t>
        </is>
      </c>
      <c r="F34" s="14">
        <f>COUNTIF(H34:V34, "X")</f>
        <v/>
      </c>
      <c r="G34" s="10">
        <f>IF(F34&gt;0, "EVALUADO", "SIN EVALUAR")</f>
        <v/>
      </c>
      <c r="H34" s="13" t="inlineStr"/>
      <c r="I34" s="13" t="inlineStr"/>
      <c r="J34" s="13" t="inlineStr"/>
      <c r="K34" s="13" t="inlineStr"/>
      <c r="L34" s="13" t="inlineStr"/>
      <c r="M34" s="13" t="inlineStr"/>
      <c r="N34" s="13" t="inlineStr"/>
      <c r="O34" s="16" t="inlineStr">
        <is>
          <t>X</t>
        </is>
      </c>
      <c r="P34" s="13" t="inlineStr"/>
      <c r="Q34" s="13" t="inlineStr"/>
      <c r="R34" s="13" t="inlineStr"/>
      <c r="S34" s="13" t="inlineStr"/>
      <c r="T34" s="16" t="inlineStr">
        <is>
          <t>X</t>
        </is>
      </c>
      <c r="U34" s="13" t="inlineStr"/>
      <c r="V34" s="13" t="inlineStr"/>
      <c r="W34" s="17" t="n">
        <v>0.04</v>
      </c>
    </row>
    <row r="35" ht="24" customHeight="1">
      <c r="A35" s="18" t="inlineStr">
        <is>
          <t>RA4</t>
        </is>
      </c>
      <c r="B35" s="19" t="n">
        <v>0.24</v>
      </c>
      <c r="C35" s="18" t="inlineStr">
        <is>
          <t>CE4.f</t>
        </is>
      </c>
      <c r="D35" s="20" t="inlineStr">
        <is>
          <t>Se ha añadido interactividad a elementos web (Signals, Events, Forms).</t>
        </is>
      </c>
      <c r="E35" s="21" t="inlineStr">
        <is>
          <t>UD13, UD21, UD23</t>
        </is>
      </c>
      <c r="F35" s="14">
        <f>COUNTIF(H35:V35, "X")</f>
        <v/>
      </c>
      <c r="G35" s="18">
        <f>IF(F35&gt;0, "EVALUADO", "SIN EVALUAR")</f>
        <v/>
      </c>
      <c r="H35" s="21" t="inlineStr"/>
      <c r="I35" s="21" t="inlineStr"/>
      <c r="J35" s="21" t="inlineStr"/>
      <c r="K35" s="21" t="inlineStr"/>
      <c r="L35" s="21" t="inlineStr"/>
      <c r="M35" s="21" t="inlineStr"/>
      <c r="N35" s="21" t="inlineStr"/>
      <c r="O35" s="16" t="inlineStr">
        <is>
          <t>X</t>
        </is>
      </c>
      <c r="P35" s="16" t="inlineStr">
        <is>
          <t>X</t>
        </is>
      </c>
      <c r="Q35" s="16" t="inlineStr">
        <is>
          <t>X</t>
        </is>
      </c>
      <c r="R35" s="21" t="inlineStr"/>
      <c r="S35" s="21" t="inlineStr"/>
      <c r="T35" s="16" t="inlineStr">
        <is>
          <t>X</t>
        </is>
      </c>
      <c r="U35" s="16" t="inlineStr">
        <is>
          <t>X</t>
        </is>
      </c>
      <c r="V35" s="21" t="inlineStr"/>
      <c r="W35" s="22" t="n">
        <v>0.04</v>
      </c>
    </row>
    <row r="36" ht="24" customHeight="1">
      <c r="A36" s="10" t="inlineStr">
        <is>
          <t>RA4</t>
        </is>
      </c>
      <c r="B36" s="11" t="n">
        <v>0.24</v>
      </c>
      <c r="C36" s="10" t="inlineStr">
        <is>
          <t>CE4.g</t>
        </is>
      </c>
      <c r="D36" s="12" t="inlineStr">
        <is>
          <t>Se ha verificado el funcionamiento interactivo en múltiples dispositivos.</t>
        </is>
      </c>
      <c r="E36" s="13" t="inlineStr">
        <is>
          <t>UD11, UD13, UD23</t>
        </is>
      </c>
      <c r="F36" s="14">
        <f>COUNTIF(H36:V36, "X")</f>
        <v/>
      </c>
      <c r="G36" s="10">
        <f>IF(F36&gt;0, "EVALUADO", "SIN EVALUAR")</f>
        <v/>
      </c>
      <c r="H36" s="13" t="inlineStr"/>
      <c r="I36" s="13" t="inlineStr"/>
      <c r="J36" s="13" t="inlineStr"/>
      <c r="K36" s="13" t="inlineStr"/>
      <c r="L36" s="13" t="inlineStr"/>
      <c r="M36" s="13" t="inlineStr"/>
      <c r="N36" s="13" t="inlineStr"/>
      <c r="O36" s="16" t="inlineStr">
        <is>
          <t>X</t>
        </is>
      </c>
      <c r="P36" s="13" t="inlineStr"/>
      <c r="Q36" s="16" t="inlineStr">
        <is>
          <t>X</t>
        </is>
      </c>
      <c r="R36" s="13" t="inlineStr"/>
      <c r="S36" s="13" t="inlineStr"/>
      <c r="T36" s="16" t="inlineStr">
        <is>
          <t>X</t>
        </is>
      </c>
      <c r="U36" s="16" t="inlineStr">
        <is>
          <t>X</t>
        </is>
      </c>
      <c r="V36" s="16" t="inlineStr">
        <is>
          <t>X</t>
        </is>
      </c>
      <c r="W36" s="17" t="n">
        <v>0.04</v>
      </c>
    </row>
    <row r="37" ht="24" customHeight="1">
      <c r="A37" s="18" t="inlineStr">
        <is>
          <t>RA5</t>
        </is>
      </c>
      <c r="B37" s="19" t="n">
        <v>0.16</v>
      </c>
      <c r="C37" s="18" t="inlineStr">
        <is>
          <t>CE5.a</t>
        </is>
      </c>
      <c r="D37" s="20" t="inlineStr">
        <is>
          <t>Se ha reconocido la necesidad de diseñar webs accesibles (RD 1112/2018).</t>
        </is>
      </c>
      <c r="E37" s="21" t="inlineStr">
        <is>
          <t>UD14</t>
        </is>
      </c>
      <c r="F37" s="14">
        <f>COUNTIF(H37:V37, "X")</f>
        <v/>
      </c>
      <c r="G37" s="18">
        <f>IF(F37&gt;0, "EVALUADO", "SIN EVALUAR")</f>
        <v/>
      </c>
      <c r="H37" s="21" t="inlineStr"/>
      <c r="I37" s="21" t="inlineStr"/>
      <c r="J37" s="21" t="inlineStr"/>
      <c r="K37" s="21" t="inlineStr"/>
      <c r="L37" s="21" t="inlineStr"/>
      <c r="M37" s="21" t="inlineStr"/>
      <c r="N37" s="21" t="inlineStr"/>
      <c r="O37" s="21" t="inlineStr"/>
      <c r="P37" s="21" t="inlineStr"/>
      <c r="Q37" s="21" t="inlineStr"/>
      <c r="R37" s="16" t="inlineStr">
        <is>
          <t>X</t>
        </is>
      </c>
      <c r="S37" s="21" t="inlineStr"/>
      <c r="T37" s="16" t="inlineStr">
        <is>
          <t>X</t>
        </is>
      </c>
      <c r="U37" s="21" t="inlineStr"/>
      <c r="V37" s="21" t="inlineStr"/>
      <c r="W37" s="22" t="n">
        <v>0.02</v>
      </c>
    </row>
    <row r="38" ht="24" customHeight="1">
      <c r="A38" s="10" t="inlineStr">
        <is>
          <t>RA5</t>
        </is>
      </c>
      <c r="B38" s="11" t="n">
        <v>0.16</v>
      </c>
      <c r="C38" s="10" t="inlineStr">
        <is>
          <t>CE5.b</t>
        </is>
      </c>
      <c r="D38" s="12" t="inlineStr">
        <is>
          <t>Se ha analizado la accesibilidad de diferentes documentos web.</t>
        </is>
      </c>
      <c r="E38" s="13" t="inlineStr">
        <is>
          <t>UD14</t>
        </is>
      </c>
      <c r="F38" s="14">
        <f>COUNTIF(H38:V38, "X")</f>
        <v/>
      </c>
      <c r="G38" s="10">
        <f>IF(F38&gt;0, "EVALUADO", "SIN EVALUAR")</f>
        <v/>
      </c>
      <c r="H38" s="13" t="inlineStr"/>
      <c r="I38" s="13" t="inlineStr"/>
      <c r="J38" s="13" t="inlineStr"/>
      <c r="K38" s="13" t="inlineStr"/>
      <c r="L38" s="13" t="inlineStr"/>
      <c r="M38" s="13" t="inlineStr"/>
      <c r="N38" s="13" t="inlineStr"/>
      <c r="O38" s="13" t="inlineStr"/>
      <c r="P38" s="13" t="inlineStr"/>
      <c r="Q38" s="13" t="inlineStr"/>
      <c r="R38" s="16" t="inlineStr">
        <is>
          <t>X</t>
        </is>
      </c>
      <c r="S38" s="13" t="inlineStr"/>
      <c r="T38" s="16" t="inlineStr">
        <is>
          <t>X</t>
        </is>
      </c>
      <c r="U38" s="13" t="inlineStr"/>
      <c r="V38" s="13" t="inlineStr"/>
      <c r="W38" s="17" t="n">
        <v>0.02</v>
      </c>
    </row>
    <row r="39" ht="24" customHeight="1">
      <c r="A39" s="18" t="inlineStr">
        <is>
          <t>RA5</t>
        </is>
      </c>
      <c r="B39" s="19" t="n">
        <v>0.16</v>
      </c>
      <c r="C39" s="18" t="inlineStr">
        <is>
          <t>CE5.c</t>
        </is>
      </c>
      <c r="D39" s="20" t="inlineStr">
        <is>
          <t>Se han analizado los principios y pautas WCAG 2.2 y niveles de conformidad.</t>
        </is>
      </c>
      <c r="E39" s="21" t="inlineStr">
        <is>
          <t>UD14</t>
        </is>
      </c>
      <c r="F39" s="14">
        <f>COUNTIF(H39:V39, "X")</f>
        <v/>
      </c>
      <c r="G39" s="18">
        <f>IF(F39&gt;0, "EVALUADO", "SIN EVALUAR")</f>
        <v/>
      </c>
      <c r="H39" s="21" t="inlineStr"/>
      <c r="I39" s="21" t="inlineStr"/>
      <c r="J39" s="21" t="inlineStr"/>
      <c r="K39" s="21" t="inlineStr"/>
      <c r="L39" s="21" t="inlineStr"/>
      <c r="M39" s="21" t="inlineStr"/>
      <c r="N39" s="21" t="inlineStr"/>
      <c r="O39" s="21" t="inlineStr"/>
      <c r="P39" s="21" t="inlineStr"/>
      <c r="Q39" s="21" t="inlineStr"/>
      <c r="R39" s="16" t="inlineStr">
        <is>
          <t>X</t>
        </is>
      </c>
      <c r="S39" s="21" t="inlineStr"/>
      <c r="T39" s="16" t="inlineStr">
        <is>
          <t>X</t>
        </is>
      </c>
      <c r="U39" s="16" t="inlineStr">
        <is>
          <t>X</t>
        </is>
      </c>
      <c r="V39" s="21" t="inlineStr"/>
      <c r="W39" s="22" t="n">
        <v>0.02</v>
      </c>
    </row>
    <row r="40" ht="24" customHeight="1">
      <c r="A40" s="10" t="inlineStr">
        <is>
          <t>RA5</t>
        </is>
      </c>
      <c r="B40" s="11" t="n">
        <v>0.16</v>
      </c>
      <c r="C40" s="10" t="inlineStr">
        <is>
          <t>CE5.d</t>
        </is>
      </c>
      <c r="D40" s="12" t="inlineStr">
        <is>
          <t>Se han analizado los posibles errores según prioridades de verificación.</t>
        </is>
      </c>
      <c r="E40" s="13" t="inlineStr">
        <is>
          <t>UD14</t>
        </is>
      </c>
      <c r="F40" s="14">
        <f>COUNTIF(H40:V40, "X")</f>
        <v/>
      </c>
      <c r="G40" s="10">
        <f>IF(F40&gt;0, "EVALUADO", "SIN EVALUAR")</f>
        <v/>
      </c>
      <c r="H40" s="13" t="inlineStr"/>
      <c r="I40" s="13" t="inlineStr"/>
      <c r="J40" s="13" t="inlineStr"/>
      <c r="K40" s="13" t="inlineStr"/>
      <c r="L40" s="13" t="inlineStr"/>
      <c r="M40" s="13" t="inlineStr"/>
      <c r="N40" s="13" t="inlineStr"/>
      <c r="O40" s="13" t="inlineStr"/>
      <c r="P40" s="13" t="inlineStr"/>
      <c r="Q40" s="13" t="inlineStr"/>
      <c r="R40" s="16" t="inlineStr">
        <is>
          <t>X</t>
        </is>
      </c>
      <c r="S40" s="13" t="inlineStr"/>
      <c r="T40" s="16" t="inlineStr">
        <is>
          <t>X</t>
        </is>
      </c>
      <c r="U40" s="13" t="inlineStr"/>
      <c r="V40" s="13" t="inlineStr"/>
      <c r="W40" s="17" t="n">
        <v>0.02</v>
      </c>
    </row>
    <row r="41" ht="24" customHeight="1">
      <c r="A41" s="18" t="inlineStr">
        <is>
          <t>RA5</t>
        </is>
      </c>
      <c r="B41" s="19" t="n">
        <v>0.16</v>
      </c>
      <c r="C41" s="18" t="inlineStr">
        <is>
          <t>CE5.e</t>
        </is>
      </c>
      <c r="D41" s="20" t="inlineStr">
        <is>
          <t>Se ha alcanzado el nivel de conformidad deseado (Nivel AA/AAA).</t>
        </is>
      </c>
      <c r="E41" s="21" t="inlineStr">
        <is>
          <t>UD14</t>
        </is>
      </c>
      <c r="F41" s="14">
        <f>COUNTIF(H41:V41, "X")</f>
        <v/>
      </c>
      <c r="G41" s="18">
        <f>IF(F41&gt;0, "EVALUADO", "SIN EVALUAR")</f>
        <v/>
      </c>
      <c r="H41" s="21" t="inlineStr"/>
      <c r="I41" s="21" t="inlineStr"/>
      <c r="J41" s="21" t="inlineStr"/>
      <c r="K41" s="21" t="inlineStr"/>
      <c r="L41" s="21" t="inlineStr"/>
      <c r="M41" s="21" t="inlineStr"/>
      <c r="N41" s="21" t="inlineStr"/>
      <c r="O41" s="21" t="inlineStr"/>
      <c r="P41" s="21" t="inlineStr"/>
      <c r="Q41" s="21" t="inlineStr"/>
      <c r="R41" s="16" t="inlineStr">
        <is>
          <t>X</t>
        </is>
      </c>
      <c r="S41" s="21" t="inlineStr"/>
      <c r="T41" s="16" t="inlineStr">
        <is>
          <t>X</t>
        </is>
      </c>
      <c r="U41" s="21" t="inlineStr"/>
      <c r="V41" s="21" t="inlineStr"/>
      <c r="W41" s="22" t="n">
        <v>0.02</v>
      </c>
    </row>
    <row r="42" ht="24" customHeight="1">
      <c r="A42" s="10" t="inlineStr">
        <is>
          <t>RA5</t>
        </is>
      </c>
      <c r="B42" s="11" t="n">
        <v>0.16</v>
      </c>
      <c r="C42" s="10" t="inlineStr">
        <is>
          <t>CE5.f</t>
        </is>
      </c>
      <c r="D42" s="12" t="inlineStr">
        <is>
          <t>Se han verificado los niveles mediante tests automatizados (axe, Lighthouse).</t>
        </is>
      </c>
      <c r="E42" s="13" t="inlineStr">
        <is>
          <t>UD14</t>
        </is>
      </c>
      <c r="F42" s="14">
        <f>COUNTIF(H42:V42, "X")</f>
        <v/>
      </c>
      <c r="G42" s="10">
        <f>IF(F42&gt;0, "EVALUADO", "SIN EVALUAR")</f>
        <v/>
      </c>
      <c r="H42" s="13" t="inlineStr"/>
      <c r="I42" s="13" t="inlineStr"/>
      <c r="J42" s="13" t="inlineStr"/>
      <c r="K42" s="13" t="inlineStr"/>
      <c r="L42" s="13" t="inlineStr"/>
      <c r="M42" s="13" t="inlineStr"/>
      <c r="N42" s="13" t="inlineStr"/>
      <c r="O42" s="13" t="inlineStr"/>
      <c r="P42" s="13" t="inlineStr"/>
      <c r="Q42" s="13" t="inlineStr"/>
      <c r="R42" s="16" t="inlineStr">
        <is>
          <t>X</t>
        </is>
      </c>
      <c r="S42" s="13" t="inlineStr"/>
      <c r="T42" s="16" t="inlineStr">
        <is>
          <t>X</t>
        </is>
      </c>
      <c r="U42" s="16" t="inlineStr">
        <is>
          <t>X</t>
        </is>
      </c>
      <c r="V42" s="13" t="inlineStr"/>
      <c r="W42" s="17" t="n">
        <v>0.02</v>
      </c>
    </row>
    <row r="43" ht="24" customHeight="1">
      <c r="A43" s="18" t="inlineStr">
        <is>
          <t>RA5</t>
        </is>
      </c>
      <c r="B43" s="19" t="n">
        <v>0.16</v>
      </c>
      <c r="C43" s="18" t="inlineStr">
        <is>
          <t>CE5.g</t>
        </is>
      </c>
      <c r="D43" s="20" t="inlineStr">
        <is>
          <t>Se ha verificado la visualización con tecnologías asistivas (NVDA).</t>
        </is>
      </c>
      <c r="E43" s="21" t="inlineStr">
        <is>
          <t>UD14</t>
        </is>
      </c>
      <c r="F43" s="14">
        <f>COUNTIF(H43:V43, "X")</f>
        <v/>
      </c>
      <c r="G43" s="18">
        <f>IF(F43&gt;0, "EVALUADO", "SIN EVALUAR")</f>
        <v/>
      </c>
      <c r="H43" s="21" t="inlineStr"/>
      <c r="I43" s="21" t="inlineStr"/>
      <c r="J43" s="21" t="inlineStr"/>
      <c r="K43" s="21" t="inlineStr"/>
      <c r="L43" s="21" t="inlineStr"/>
      <c r="M43" s="21" t="inlineStr"/>
      <c r="N43" s="21" t="inlineStr"/>
      <c r="O43" s="21" t="inlineStr"/>
      <c r="P43" s="21" t="inlineStr"/>
      <c r="Q43" s="21" t="inlineStr"/>
      <c r="R43" s="16" t="inlineStr">
        <is>
          <t>X</t>
        </is>
      </c>
      <c r="S43" s="21" t="inlineStr"/>
      <c r="T43" s="16" t="inlineStr">
        <is>
          <t>X</t>
        </is>
      </c>
      <c r="U43" s="21" t="inlineStr"/>
      <c r="V43" s="21" t="inlineStr"/>
      <c r="W43" s="22" t="n">
        <v>0.02</v>
      </c>
    </row>
    <row r="44" ht="24" customHeight="1">
      <c r="A44" s="10" t="inlineStr">
        <is>
          <t>RA5</t>
        </is>
      </c>
      <c r="B44" s="11" t="n">
        <v>0.16</v>
      </c>
      <c r="C44" s="10" t="inlineStr">
        <is>
          <t>CE5.h</t>
        </is>
      </c>
      <c r="D44" s="12" t="inlineStr">
        <is>
          <t>Se han utilizado herramientas que mejoren visibilidad y accesibilidad (WAI-ARIA).</t>
        </is>
      </c>
      <c r="E44" s="13" t="inlineStr">
        <is>
          <t>UD14</t>
        </is>
      </c>
      <c r="F44" s="14">
        <f>COUNTIF(H44:V44, "X")</f>
        <v/>
      </c>
      <c r="G44" s="10">
        <f>IF(F44&gt;0, "EVALUADO", "SIN EVALUAR")</f>
        <v/>
      </c>
      <c r="H44" s="13" t="inlineStr"/>
      <c r="I44" s="13" t="inlineStr"/>
      <c r="J44" s="13" t="inlineStr"/>
      <c r="K44" s="13" t="inlineStr"/>
      <c r="L44" s="13" t="inlineStr"/>
      <c r="M44" s="13" t="inlineStr"/>
      <c r="N44" s="13" t="inlineStr"/>
      <c r="O44" s="13" t="inlineStr"/>
      <c r="P44" s="13" t="inlineStr"/>
      <c r="Q44" s="13" t="inlineStr"/>
      <c r="R44" s="16" t="inlineStr">
        <is>
          <t>X</t>
        </is>
      </c>
      <c r="S44" s="13" t="inlineStr"/>
      <c r="T44" s="16" t="inlineStr">
        <is>
          <t>X</t>
        </is>
      </c>
      <c r="U44" s="13" t="inlineStr"/>
      <c r="V44" s="16" t="inlineStr">
        <is>
          <t>X</t>
        </is>
      </c>
      <c r="W44" s="17" t="n">
        <v>0.02</v>
      </c>
    </row>
    <row r="45" ht="24" customHeight="1">
      <c r="A45" s="18" t="inlineStr">
        <is>
          <t>RA6</t>
        </is>
      </c>
      <c r="B45" s="19" t="n">
        <v>0.12</v>
      </c>
      <c r="C45" s="18" t="inlineStr">
        <is>
          <t>CE6.a</t>
        </is>
      </c>
      <c r="D45" s="20" t="inlineStr">
        <is>
          <t>Se ha analizado la usabilidad de diferentes documentos web (Nielsen).</t>
        </is>
      </c>
      <c r="E45" s="21" t="inlineStr">
        <is>
          <t>UD15</t>
        </is>
      </c>
      <c r="F45" s="14">
        <f>COUNTIF(H45:V45, "X")</f>
        <v/>
      </c>
      <c r="G45" s="18">
        <f>IF(F45&gt;0, "EVALUADO", "SIN EVALUAR")</f>
        <v/>
      </c>
      <c r="H45" s="21" t="inlineStr"/>
      <c r="I45" s="21" t="inlineStr"/>
      <c r="J45" s="21" t="inlineStr"/>
      <c r="K45" s="21" t="inlineStr"/>
      <c r="L45" s="21" t="inlineStr"/>
      <c r="M45" s="21" t="inlineStr"/>
      <c r="N45" s="21" t="inlineStr"/>
      <c r="O45" s="21" t="inlineStr"/>
      <c r="P45" s="21" t="inlineStr"/>
      <c r="Q45" s="21" t="inlineStr"/>
      <c r="R45" s="21" t="inlineStr"/>
      <c r="S45" s="16" t="inlineStr">
        <is>
          <t>X</t>
        </is>
      </c>
      <c r="T45" s="16" t="inlineStr">
        <is>
          <t>X</t>
        </is>
      </c>
      <c r="U45" s="21" t="inlineStr"/>
      <c r="V45" s="21" t="inlineStr"/>
      <c r="W45" s="22" t="n">
        <v>0.02</v>
      </c>
    </row>
    <row r="46" ht="24" customHeight="1">
      <c r="A46" s="10" t="inlineStr">
        <is>
          <t>RA6</t>
        </is>
      </c>
      <c r="B46" s="11" t="n">
        <v>0.12</v>
      </c>
      <c r="C46" s="10" t="inlineStr">
        <is>
          <t>CE6.b</t>
        </is>
      </c>
      <c r="D46" s="12" t="inlineStr">
        <is>
          <t>Se ha valorado la importancia de los estándares en la creación web.</t>
        </is>
      </c>
      <c r="E46" s="13" t="inlineStr">
        <is>
          <t>UD04, UD15</t>
        </is>
      </c>
      <c r="F46" s="14">
        <f>COUNTIF(H46:V46, "X")</f>
        <v/>
      </c>
      <c r="G46" s="10">
        <f>IF(F46&gt;0, "EVALUADO", "SIN EVALUAR")</f>
        <v/>
      </c>
      <c r="H46" s="15" t="inlineStr">
        <is>
          <t>X</t>
        </is>
      </c>
      <c r="I46" s="13" t="inlineStr"/>
      <c r="J46" s="13" t="inlineStr"/>
      <c r="K46" s="13" t="inlineStr"/>
      <c r="L46" s="13" t="inlineStr"/>
      <c r="M46" s="13" t="inlineStr"/>
      <c r="N46" s="13" t="inlineStr"/>
      <c r="O46" s="13" t="inlineStr"/>
      <c r="P46" s="13" t="inlineStr"/>
      <c r="Q46" s="13" t="inlineStr"/>
      <c r="R46" s="13" t="inlineStr"/>
      <c r="S46" s="16" t="inlineStr">
        <is>
          <t>X</t>
        </is>
      </c>
      <c r="T46" s="16" t="inlineStr">
        <is>
          <t>X</t>
        </is>
      </c>
      <c r="U46" s="13" t="inlineStr"/>
      <c r="V46" s="13" t="inlineStr"/>
      <c r="W46" s="17" t="n">
        <v>0.02</v>
      </c>
    </row>
    <row r="47" ht="24" customHeight="1">
      <c r="A47" s="18" t="inlineStr">
        <is>
          <t>RA6</t>
        </is>
      </c>
      <c r="B47" s="19" t="n">
        <v>0.12</v>
      </c>
      <c r="C47" s="18" t="inlineStr">
        <is>
          <t>CE6.c</t>
        </is>
      </c>
      <c r="D47" s="20" t="inlineStr">
        <is>
          <t>Se ha adecuado la interfaz web a los objetivos y usuarios (DCU/Personas).</t>
        </is>
      </c>
      <c r="E47" s="21" t="inlineStr">
        <is>
          <t>UD16</t>
        </is>
      </c>
      <c r="F47" s="14">
        <f>COUNTIF(H47:V47, "X")</f>
        <v/>
      </c>
      <c r="G47" s="18">
        <f>IF(F47&gt;0, "EVALUADO", "SIN EVALUAR")</f>
        <v/>
      </c>
      <c r="H47" s="15" t="inlineStr">
        <is>
          <t>X</t>
        </is>
      </c>
      <c r="I47" s="21" t="inlineStr"/>
      <c r="J47" s="21" t="inlineStr"/>
      <c r="K47" s="21" t="inlineStr"/>
      <c r="L47" s="21" t="inlineStr"/>
      <c r="M47" s="21" t="inlineStr"/>
      <c r="N47" s="21" t="inlineStr"/>
      <c r="O47" s="21" t="inlineStr"/>
      <c r="P47" s="21" t="inlineStr"/>
      <c r="Q47" s="21" t="inlineStr"/>
      <c r="R47" s="21" t="inlineStr"/>
      <c r="S47" s="16" t="inlineStr">
        <is>
          <t>X</t>
        </is>
      </c>
      <c r="T47" s="16" t="inlineStr">
        <is>
          <t>X</t>
        </is>
      </c>
      <c r="U47" s="21" t="inlineStr"/>
      <c r="V47" s="21" t="inlineStr"/>
      <c r="W47" s="22" t="n">
        <v>0.02</v>
      </c>
    </row>
    <row r="48" ht="24" customHeight="1">
      <c r="A48" s="10" t="inlineStr">
        <is>
          <t>RA6</t>
        </is>
      </c>
      <c r="B48" s="11" t="n">
        <v>0.12</v>
      </c>
      <c r="C48" s="10" t="inlineStr">
        <is>
          <t>CE6.d</t>
        </is>
      </c>
      <c r="D48" s="12" t="inlineStr">
        <is>
          <t>Se ha verificado la facilidad de navegación mediante diversos periféricos.</t>
        </is>
      </c>
      <c r="E48" s="13" t="inlineStr">
        <is>
          <t>UD15</t>
        </is>
      </c>
      <c r="F48" s="14">
        <f>COUNTIF(H48:V48, "X")</f>
        <v/>
      </c>
      <c r="G48" s="10">
        <f>IF(F48&gt;0, "EVALUADO", "SIN EVALUAR")</f>
        <v/>
      </c>
      <c r="H48" s="13" t="inlineStr"/>
      <c r="I48" s="13" t="inlineStr"/>
      <c r="J48" s="13" t="inlineStr"/>
      <c r="K48" s="13" t="inlineStr"/>
      <c r="L48" s="13" t="inlineStr"/>
      <c r="M48" s="13" t="inlineStr"/>
      <c r="N48" s="13" t="inlineStr"/>
      <c r="O48" s="13" t="inlineStr"/>
      <c r="P48" s="13" t="inlineStr"/>
      <c r="Q48" s="13" t="inlineStr"/>
      <c r="R48" s="13" t="inlineStr"/>
      <c r="S48" s="16" t="inlineStr">
        <is>
          <t>X</t>
        </is>
      </c>
      <c r="T48" s="16" t="inlineStr">
        <is>
          <t>X</t>
        </is>
      </c>
      <c r="U48" s="13" t="inlineStr"/>
      <c r="V48" s="13" t="inlineStr"/>
      <c r="W48" s="17" t="n">
        <v>0.02</v>
      </c>
    </row>
    <row r="49" ht="24" customHeight="1">
      <c r="A49" s="18" t="inlineStr">
        <is>
          <t>RA6</t>
        </is>
      </c>
      <c r="B49" s="19" t="n">
        <v>0.12</v>
      </c>
      <c r="C49" s="18" t="inlineStr">
        <is>
          <t>CE6.e</t>
        </is>
      </c>
      <c r="D49" s="20" t="inlineStr">
        <is>
          <t>Se han analizado técnicas para verificar la usabilidad (SUS, métricas UX).</t>
        </is>
      </c>
      <c r="E49" s="21" t="inlineStr">
        <is>
          <t>UD15, UD16</t>
        </is>
      </c>
      <c r="F49" s="14">
        <f>COUNTIF(H49:V49, "X")</f>
        <v/>
      </c>
      <c r="G49" s="18">
        <f>IF(F49&gt;0, "EVALUADO", "SIN EVALUAR")</f>
        <v/>
      </c>
      <c r="H49" s="21" t="inlineStr"/>
      <c r="I49" s="21" t="inlineStr"/>
      <c r="J49" s="21" t="inlineStr"/>
      <c r="K49" s="21" t="inlineStr"/>
      <c r="L49" s="21" t="inlineStr"/>
      <c r="M49" s="21" t="inlineStr"/>
      <c r="N49" s="21" t="inlineStr"/>
      <c r="O49" s="21" t="inlineStr"/>
      <c r="P49" s="21" t="inlineStr"/>
      <c r="Q49" s="21" t="inlineStr"/>
      <c r="R49" s="21" t="inlineStr"/>
      <c r="S49" s="16" t="inlineStr">
        <is>
          <t>X</t>
        </is>
      </c>
      <c r="T49" s="16" t="inlineStr">
        <is>
          <t>X</t>
        </is>
      </c>
      <c r="U49" s="21" t="inlineStr"/>
      <c r="V49" s="16" t="inlineStr">
        <is>
          <t>X</t>
        </is>
      </c>
      <c r="W49" s="22" t="n">
        <v>0.02</v>
      </c>
    </row>
    <row r="50" ht="24" customHeight="1">
      <c r="A50" s="10" t="inlineStr">
        <is>
          <t>RA6</t>
        </is>
      </c>
      <c r="B50" s="11" t="n">
        <v>0.12</v>
      </c>
      <c r="C50" s="10" t="inlineStr">
        <is>
          <t>CE6.f</t>
        </is>
      </c>
      <c r="D50" s="12" t="inlineStr">
        <is>
          <t>Se ha verificado la usabilidad en diferentes navegadores y dispositivos.</t>
        </is>
      </c>
      <c r="E50" s="13" t="inlineStr">
        <is>
          <t>UD15</t>
        </is>
      </c>
      <c r="F50" s="14">
        <f>COUNTIF(H50:V50, "X")</f>
        <v/>
      </c>
      <c r="G50" s="10">
        <f>IF(F50&gt;0, "EVALUADO", "SIN EVALUAR")</f>
        <v/>
      </c>
      <c r="H50" s="13" t="inlineStr"/>
      <c r="I50" s="13" t="inlineStr"/>
      <c r="J50" s="13" t="inlineStr"/>
      <c r="K50" s="13" t="inlineStr"/>
      <c r="L50" s="13" t="inlineStr"/>
      <c r="M50" s="13" t="inlineStr"/>
      <c r="N50" s="13" t="inlineStr"/>
      <c r="O50" s="13" t="inlineStr"/>
      <c r="P50" s="13" t="inlineStr"/>
      <c r="Q50" s="13" t="inlineStr"/>
      <c r="R50" s="13" t="inlineStr"/>
      <c r="S50" s="16" t="inlineStr">
        <is>
          <t>X</t>
        </is>
      </c>
      <c r="T50" s="16" t="inlineStr">
        <is>
          <t>X</t>
        </is>
      </c>
      <c r="U50" s="16" t="inlineStr">
        <is>
          <t>X</t>
        </is>
      </c>
      <c r="V50" s="13" t="inlineStr"/>
      <c r="W50" s="17" t="n">
        <v>0.02</v>
      </c>
    </row>
    <row r="51" ht="24" customHeight="1">
      <c r="A51" s="23" t="inlineStr">
        <is>
          <t>TOTAL CRITERIOS EVALUADOS POR ESTA TAREA</t>
        </is>
      </c>
      <c r="H51" s="24">
        <f>COUNTIF(H$6:H$50, "X")</f>
        <v/>
      </c>
      <c r="I51" s="24">
        <f>COUNTIF(I$6:I$50, "X")</f>
        <v/>
      </c>
      <c r="J51" s="24">
        <f>COUNTIF(J$6:J$50, "X")</f>
        <v/>
      </c>
      <c r="K51" s="24">
        <f>COUNTIF(K$6:K$50, "X")</f>
        <v/>
      </c>
      <c r="L51" s="24">
        <f>COUNTIF(L$6:L$50, "X")</f>
        <v/>
      </c>
      <c r="M51" s="24">
        <f>COUNTIF(M$6:M$50, "X")</f>
        <v/>
      </c>
      <c r="N51" s="24">
        <f>COUNTIF(N$6:N$50, "X")</f>
        <v/>
      </c>
      <c r="O51" s="24">
        <f>COUNTIF(O$6:O$50, "X")</f>
        <v/>
      </c>
      <c r="P51" s="24">
        <f>COUNTIF(P$6:P$50, "X")</f>
        <v/>
      </c>
      <c r="Q51" s="24">
        <f>COUNTIF(Q$6:Q$50, "X")</f>
        <v/>
      </c>
      <c r="R51" s="24">
        <f>COUNTIF(R$6:R$50, "X")</f>
        <v/>
      </c>
      <c r="S51" s="24">
        <f>COUNTIF(S$6:S$50, "X")</f>
        <v/>
      </c>
      <c r="T51" s="24">
        <f>COUNTIF(T$6:T$50, "X")</f>
        <v/>
      </c>
      <c r="U51" s="24">
        <f>COUNTIF(U$6:U$50, "X")</f>
        <v/>
      </c>
      <c r="V51" s="24">
        <f>COUNTIF(V$6:V$50, "X")</f>
        <v/>
      </c>
      <c r="W51" s="25" t="inlineStr">
        <is>
          <t>100.0%</t>
        </is>
      </c>
    </row>
    <row r="52" ht="26" customHeight="1">
      <c r="A52" s="26" t="inlineStr">
        <is>
          <t>SUMA DE CRITERIOS EVALUADOS EN ESTA TAREA (Suma Directa con 'X')</t>
        </is>
      </c>
      <c r="H52" s="27">
        <f>SUMIF(H$6:H$50, "X", $W$6:$W$50)</f>
        <v/>
      </c>
      <c r="I52" s="27">
        <f>SUMIF(I$6:I$50, "X", $W$6:$W$50)</f>
        <v/>
      </c>
      <c r="J52" s="27">
        <f>SUMIF(J$6:J$50, "X", $W$6:$W$50)</f>
        <v/>
      </c>
      <c r="K52" s="27">
        <f>SUMIF(K$6:K$50, "X", $W$6:$W$50)</f>
        <v/>
      </c>
      <c r="L52" s="27">
        <f>SUMIF(L$6:L$50, "X", $W$6:$W$50)</f>
        <v/>
      </c>
      <c r="M52" s="27">
        <f>SUMIF(M$6:M$50, "X", $W$6:$W$50)</f>
        <v/>
      </c>
      <c r="N52" s="27">
        <f>SUMIF(N$6:N$50, "X", $W$6:$W$50)</f>
        <v/>
      </c>
      <c r="O52" s="27">
        <f>SUMIF(O$6:O$50, "X", $W$6:$W$50)</f>
        <v/>
      </c>
      <c r="P52" s="27">
        <f>SUMIF(P$6:P$50, "X", $W$6:$W$50)</f>
        <v/>
      </c>
      <c r="Q52" s="27">
        <f>SUMIF(Q$6:Q$50, "X", $W$6:$W$50)</f>
        <v/>
      </c>
      <c r="R52" s="27">
        <f>SUMIF(R$6:R$50, "X", $W$6:$W$50)</f>
        <v/>
      </c>
      <c r="S52" s="27">
        <f>SUMIF(S$6:S$50, "X", $W$6:$W$50)</f>
        <v/>
      </c>
      <c r="T52" s="27">
        <f>SUMIF(T$6:T$50, "X", $W$6:$W$50)</f>
        <v/>
      </c>
      <c r="U52" s="27">
        <f>SUMIF(U$6:U$50, "X", $W$6:$W$50)</f>
        <v/>
      </c>
      <c r="V52" s="27">
        <f>SUMIF(V$6:V$50, "X", $W$6:$W$50)</f>
        <v/>
      </c>
      <c r="W52" s="28">
        <f>SUM(H52:V52)</f>
        <v/>
      </c>
    </row>
    <row r="53" ht="26" customHeight="1">
      <c r="A53" s="29" t="inlineStr">
        <is>
          <t>% PONDERACIÓN EN EL TRIMESTRE (Normalizado a 100% para boletín de notas)</t>
        </is>
      </c>
      <c r="H53" s="30">
        <f>IF(SUM($H$52:$N$52)=0, 0, H$52 / SUM($H$52:$N$52))</f>
        <v/>
      </c>
      <c r="I53" s="30">
        <f>IF(SUM($H$52:$N$52)=0, 0, I$52 / SUM($H$52:$N$52))</f>
        <v/>
      </c>
      <c r="J53" s="30">
        <f>IF(SUM($H$52:$N$52)=0, 0, J$52 / SUM($H$52:$N$52))</f>
        <v/>
      </c>
      <c r="K53" s="30">
        <f>IF(SUM($H$52:$N$52)=0, 0, K$52 / SUM($H$52:$N$52))</f>
        <v/>
      </c>
      <c r="L53" s="30">
        <f>IF(SUM($H$52:$N$52)=0, 0, L$52 / SUM($H$52:$N$52))</f>
        <v/>
      </c>
      <c r="M53" s="30">
        <f>IF(SUM($H$52:$N$52)=0, 0, M$52 / SUM($H$52:$N$52))</f>
        <v/>
      </c>
      <c r="N53" s="30">
        <f>IF(SUM($H$52:$N$52)=0, 0, N$52 / SUM($H$52:$N$52))</f>
        <v/>
      </c>
      <c r="O53" s="30">
        <f>IF(SUM($O$52:$V$52)=0, 0, O$52 / SUM($O$52:$V$52))</f>
        <v/>
      </c>
      <c r="P53" s="30">
        <f>IF(SUM($O$52:$V$52)=0, 0, P$52 / SUM($O$52:$V$52))</f>
        <v/>
      </c>
      <c r="Q53" s="30">
        <f>IF(SUM($O$52:$V$52)=0, 0, Q$52 / SUM($O$52:$V$52))</f>
        <v/>
      </c>
      <c r="R53" s="30">
        <f>IF(SUM($O$52:$V$52)=0, 0, R$52 / SUM($O$52:$V$52))</f>
        <v/>
      </c>
      <c r="S53" s="30">
        <f>IF(SUM($O$52:$V$52)=0, 0, S$52 / SUM($O$52:$V$52))</f>
        <v/>
      </c>
      <c r="T53" s="30">
        <f>IF(SUM($O$52:$V$52)=0, 0, T$52 / SUM($O$52:$V$52))</f>
        <v/>
      </c>
      <c r="U53" s="30">
        <f>IF(SUM($O$52:$V$52)=0, 0, U$52 / SUM($O$52:$V$52))</f>
        <v/>
      </c>
      <c r="V53" s="30">
        <f>IF(SUM($O$52:$V$52)=0, 0, V$52 / SUM($O$52:$V$52))</f>
        <v/>
      </c>
      <c r="W53" s="31" t="inlineStr">
        <is>
          <t>100% T1 / 100% T2</t>
        </is>
      </c>
    </row>
  </sheetData>
  <mergeCells count="9">
    <mergeCell ref="A1:W1"/>
    <mergeCell ref="H4:N4"/>
    <mergeCell ref="A51:G51"/>
    <mergeCell ref="W4:W5"/>
    <mergeCell ref="A53:G53"/>
    <mergeCell ref="A4:G4"/>
    <mergeCell ref="A52:G52"/>
    <mergeCell ref="A2:W2"/>
    <mergeCell ref="O4:V4"/>
  </mergeCells>
  <conditionalFormatting sqref="G6:G50">
    <cfRule type="cellIs" priority="1" operator="equal" dxfId="0" stopIfTrue="1">
      <formula>"EVALUADO"</formula>
    </cfRule>
    <cfRule type="cellIs" priority="2" operator="equal" dxfId="1" stopIfTrue="1">
      <formula>"SIN EVALUAR"</formula>
    </cfRule>
  </conditionalFormatting>
  <conditionalFormatting sqref="H6:V50">
    <cfRule type="cellIs" priority="3" operator="equal" dxfId="2" stopIfTrue="1">
      <formula>"X"</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
  <sheetViews>
    <sheetView showGridLines="1" workbookViewId="0">
      <selection activeCell="A1" sqref="A1"/>
    </sheetView>
  </sheetViews>
  <sheetFormatPr baseColWidth="8" defaultRowHeight="15"/>
  <cols>
    <col width="5" customWidth="1" min="1" max="1"/>
    <col width="25" customWidth="1" min="2" max="2"/>
    <col width="8" customWidth="1" min="3" max="3"/>
    <col width="12" customWidth="1" min="4" max="4"/>
    <col width="12" customWidth="1" min="5" max="5"/>
    <col width="12" customWidth="1" min="6" max="6"/>
    <col width="12" customWidth="1" min="7" max="7"/>
    <col width="12" customWidth="1" min="8" max="8"/>
    <col width="12" customWidth="1" min="9" max="9"/>
    <col width="11" customWidth="1" min="10" max="10"/>
    <col width="12" customWidth="1" min="11" max="11"/>
    <col width="12" customWidth="1" min="12" max="12"/>
    <col width="12" customWidth="1" min="13" max="13"/>
    <col width="12" customWidth="1" min="14" max="14"/>
    <col width="12" customWidth="1" min="15" max="15"/>
    <col width="13" customWidth="1" min="16" max="16"/>
    <col width="12" customWidth="1" min="17" max="17"/>
    <col width="11" customWidth="1" min="18" max="18"/>
    <col width="15" customWidth="1" min="19" max="19"/>
    <col width="15" customWidth="1" min="20" max="20"/>
  </cols>
  <sheetData>
    <row r="1" ht="36" customHeight="1">
      <c r="A1" s="1" t="inlineStr">
        <is>
          <t>REGISTRO DE CALIFICACIONES POR TAREA — DISEÑO DE INTERFACES WEB (2º DAW)</t>
        </is>
      </c>
    </row>
    <row r="2" ht="20" customHeight="1">
      <c r="A2" s="2" t="inlineStr">
        <is>
          <t>Introduce las notas obtenidas (0 a 10). Las cabeceras muestran el % dinámico calculado a partir de los criterios seleccionados en 'Matriz Criterios'.</t>
        </is>
      </c>
    </row>
    <row r="4">
      <c r="A4" s="3" t="inlineStr">
        <is>
          <t>DATOS DEL ALUMNADO</t>
        </is>
      </c>
      <c r="D4" s="4" t="inlineStr">
        <is>
          <t>TAREAS 1er TRIMESTRE (T1) — PESOS DERIVADOS DE CRITERIOS</t>
        </is>
      </c>
      <c r="K4" s="5" t="inlineStr">
        <is>
          <t>TAREAS 2º TRIMESTRE (T2) — PESOS DERIVADOS DE CRITERIOS</t>
        </is>
      </c>
      <c r="S4" s="6" t="inlineStr">
        <is>
          <t>CALIFICACIONES TRIMESTRALES</t>
        </is>
      </c>
    </row>
    <row r="5" ht="36" customHeight="1">
      <c r="A5" s="32" t="inlineStr">
        <is>
          <t>Nº</t>
        </is>
      </c>
      <c r="B5" s="32" t="inlineStr">
        <is>
          <t>Apellidos, Nombre</t>
        </is>
      </c>
      <c r="C5" s="32" t="inlineStr">
        <is>
          <t>Grupo</t>
        </is>
      </c>
      <c r="D5" s="8" t="inlineStr">
        <is>
          <t>T01
Figma &amp; Estilos</t>
        </is>
      </c>
      <c r="E5" s="8" t="inlineStr">
        <is>
          <t>T02
HTML &amp; CSS Pro</t>
        </is>
      </c>
      <c r="F5" s="8" t="inlineStr">
        <is>
          <t>T03
Flex &amp; Grid</t>
        </is>
      </c>
      <c r="G5" s="8" t="inlineStr">
        <is>
          <t>T04
Resp. &amp; TW4</t>
        </is>
      </c>
      <c r="H5" s="8" t="inlineStr">
        <is>
          <t>T05
Multimedia</t>
        </is>
      </c>
      <c r="I5" s="8" t="inlineStr">
        <is>
          <t>T06
Examen T1</t>
        </is>
      </c>
      <c r="J5" s="8" t="inlineStr">
        <is>
          <t>T07
Git &amp; W3C T1</t>
        </is>
      </c>
      <c r="K5" s="9" t="inlineStr">
        <is>
          <t>T08
Interactividad</t>
        </is>
      </c>
      <c r="L5" s="9" t="inlineStr">
        <is>
          <t>T09
Angular Signals</t>
        </is>
      </c>
      <c r="M5" s="9" t="inlineStr">
        <is>
          <t>T10
Servicios &amp; Forms</t>
        </is>
      </c>
      <c r="N5" s="9" t="inlineStr">
        <is>
          <t>T11
Accesib. WCAG</t>
        </is>
      </c>
      <c r="O5" s="9" t="inlineStr">
        <is>
          <t>T12
Usabilidad SUS</t>
        </is>
      </c>
      <c r="P5" s="9" t="inlineStr">
        <is>
          <t>T13
Proyecto SPA</t>
        </is>
      </c>
      <c r="Q5" s="9" t="inlineStr">
        <is>
          <t>T14
Examen T2</t>
        </is>
      </c>
      <c r="R5" s="9" t="inlineStr">
        <is>
          <t>T15
Git &amp; Despliegue</t>
        </is>
      </c>
      <c r="S5" s="33" t="inlineStr">
        <is>
          <t>1º TRIMESTRE
(100% Criterios)</t>
        </is>
      </c>
      <c r="T5" s="33" t="inlineStr">
        <is>
          <t>2º TRIMESTRE
(100% Criterios)</t>
        </is>
      </c>
    </row>
    <row r="6" ht="20" customHeight="1">
      <c r="A6" s="13" t="n">
        <v>1</v>
      </c>
      <c r="B6" s="34" t="inlineStr">
        <is>
          <t>Álvarez Gómez, Laura</t>
        </is>
      </c>
      <c r="C6" s="13" t="inlineStr">
        <is>
          <t>2º DAW</t>
        </is>
      </c>
      <c r="D6" s="35" t="n">
        <v>8.5</v>
      </c>
      <c r="E6" s="35" t="n">
        <v>9</v>
      </c>
      <c r="F6" s="35" t="n">
        <v>8.5</v>
      </c>
      <c r="G6" s="35" t="n">
        <v>8.5</v>
      </c>
      <c r="H6" s="35" t="n">
        <v>9</v>
      </c>
      <c r="I6" s="35" t="n">
        <v>8.5</v>
      </c>
      <c r="J6" s="35" t="n">
        <v>9</v>
      </c>
      <c r="K6" s="35" t="n">
        <v>8.5</v>
      </c>
      <c r="L6" s="35" t="n">
        <v>9</v>
      </c>
      <c r="M6" s="35" t="n">
        <v>8.5</v>
      </c>
      <c r="N6" s="35" t="n">
        <v>9</v>
      </c>
      <c r="O6" s="35" t="n">
        <v>8.5</v>
      </c>
      <c r="P6" s="35" t="n">
        <v>9</v>
      </c>
      <c r="Q6" s="35" t="n">
        <v>8.5</v>
      </c>
      <c r="R6" s="35" t="n">
        <v>9.5</v>
      </c>
      <c r="S6" s="36">
        <f>D6*'Matriz Criterios'!H$53 + E6*'Matriz Criterios'!I$53 + F6*'Matriz Criterios'!J$53 + G6*'Matriz Criterios'!K$53 + H6*'Matriz Criterios'!L$53 + I6*'Matriz Criterios'!M$53 + J6*'Matriz Criterios'!N$53</f>
        <v/>
      </c>
      <c r="T6" s="37">
        <f>K6*'Matriz Criterios'!O$53 + L6*'Matriz Criterios'!P$53 + M6*'Matriz Criterios'!Q$53 + N6*'Matriz Criterios'!R$53 + O6*'Matriz Criterios'!S$53 + P6*'Matriz Criterios'!T$53 + Q6*'Matriz Criterios'!U$53 + R6*'Matriz Criterios'!V$53</f>
        <v/>
      </c>
    </row>
    <row r="7" ht="20" customHeight="1">
      <c r="A7" s="21" t="n">
        <v>2</v>
      </c>
      <c r="B7" s="38" t="inlineStr">
        <is>
          <t>Benítez Romero, Carlos</t>
        </is>
      </c>
      <c r="C7" s="21" t="inlineStr">
        <is>
          <t>2º DAW</t>
        </is>
      </c>
      <c r="D7" s="39" t="n">
        <v>6</v>
      </c>
      <c r="E7" s="39" t="n">
        <v>6</v>
      </c>
      <c r="F7" s="39" t="n">
        <v>6.5</v>
      </c>
      <c r="G7" s="39" t="n">
        <v>7</v>
      </c>
      <c r="H7" s="39" t="n">
        <v>6</v>
      </c>
      <c r="I7" s="39" t="n">
        <v>6</v>
      </c>
      <c r="J7" s="39" t="n">
        <v>7</v>
      </c>
      <c r="K7" s="39" t="n">
        <v>6.5</v>
      </c>
      <c r="L7" s="39" t="n">
        <v>6</v>
      </c>
      <c r="M7" s="39" t="n">
        <v>7</v>
      </c>
      <c r="N7" s="39" t="n">
        <v>6.5</v>
      </c>
      <c r="O7" s="39" t="n">
        <v>6</v>
      </c>
      <c r="P7" s="39" t="n">
        <v>6.5</v>
      </c>
      <c r="Q7" s="39" t="n">
        <v>6</v>
      </c>
      <c r="R7" s="39" t="n">
        <v>7</v>
      </c>
      <c r="S7" s="36">
        <f>D7*'Matriz Criterios'!H$53 + E7*'Matriz Criterios'!I$53 + F7*'Matriz Criterios'!J$53 + G7*'Matriz Criterios'!K$53 + H7*'Matriz Criterios'!L$53 + I7*'Matriz Criterios'!M$53 + J7*'Matriz Criterios'!N$53</f>
        <v/>
      </c>
      <c r="T7" s="37">
        <f>K7*'Matriz Criterios'!O$53 + L7*'Matriz Criterios'!P$53 + M7*'Matriz Criterios'!Q$53 + N7*'Matriz Criterios'!R$53 + O7*'Matriz Criterios'!S$53 + P7*'Matriz Criterios'!T$53 + Q7*'Matriz Criterios'!U$53 + R7*'Matriz Criterios'!V$53</f>
        <v/>
      </c>
    </row>
    <row r="8" ht="20" customHeight="1">
      <c r="A8" s="13" t="n">
        <v>3</v>
      </c>
      <c r="B8" s="34" t="inlineStr">
        <is>
          <t>Castillo Morales, Elena</t>
        </is>
      </c>
      <c r="C8" s="13" t="inlineStr">
        <is>
          <t>2º DAW</t>
        </is>
      </c>
      <c r="D8" s="35" t="n">
        <v>9.5</v>
      </c>
      <c r="E8" s="35" t="n">
        <v>9</v>
      </c>
      <c r="F8" s="35" t="n">
        <v>10</v>
      </c>
      <c r="G8" s="35" t="n">
        <v>9.5</v>
      </c>
      <c r="H8" s="35" t="n">
        <v>10</v>
      </c>
      <c r="I8" s="35" t="n">
        <v>9.5</v>
      </c>
      <c r="J8" s="35" t="n">
        <v>10</v>
      </c>
      <c r="K8" s="35" t="n">
        <v>10</v>
      </c>
      <c r="L8" s="35" t="n">
        <v>9.5</v>
      </c>
      <c r="M8" s="35" t="n">
        <v>9.5</v>
      </c>
      <c r="N8" s="35" t="n">
        <v>10</v>
      </c>
      <c r="O8" s="35" t="n">
        <v>9.5</v>
      </c>
      <c r="P8" s="35" t="n">
        <v>10</v>
      </c>
      <c r="Q8" s="35" t="n">
        <v>10</v>
      </c>
      <c r="R8" s="35" t="n">
        <v>10</v>
      </c>
      <c r="S8" s="36">
        <f>D8*'Matriz Criterios'!H$53 + E8*'Matriz Criterios'!I$53 + F8*'Matriz Criterios'!J$53 + G8*'Matriz Criterios'!K$53 + H8*'Matriz Criterios'!L$53 + I8*'Matriz Criterios'!M$53 + J8*'Matriz Criterios'!N$53</f>
        <v/>
      </c>
      <c r="T8" s="37">
        <f>K8*'Matriz Criterios'!O$53 + L8*'Matriz Criterios'!P$53 + M8*'Matriz Criterios'!Q$53 + N8*'Matriz Criterios'!R$53 + O8*'Matriz Criterios'!S$53 + P8*'Matriz Criterios'!T$53 + Q8*'Matriz Criterios'!U$53 + R8*'Matriz Criterios'!V$53</f>
        <v/>
      </c>
    </row>
    <row r="9" ht="20" customHeight="1">
      <c r="A9" s="21" t="n">
        <v>4</v>
      </c>
      <c r="B9" s="38" t="inlineStr">
        <is>
          <t>Delgado Santos, Alejandro</t>
        </is>
      </c>
      <c r="C9" s="21" t="inlineStr">
        <is>
          <t>2º DAW</t>
        </is>
      </c>
      <c r="D9" s="39" t="n">
        <v>4.5</v>
      </c>
      <c r="E9" s="39" t="n">
        <v>5</v>
      </c>
      <c r="F9" s="39" t="n">
        <v>4.5</v>
      </c>
      <c r="G9" s="39" t="n">
        <v>5.5</v>
      </c>
      <c r="H9" s="39" t="n">
        <v>4</v>
      </c>
      <c r="I9" s="39" t="n">
        <v>4.5</v>
      </c>
      <c r="J9" s="39" t="n">
        <v>6</v>
      </c>
      <c r="K9" s="39" t="n">
        <v>5</v>
      </c>
      <c r="L9" s="39" t="n">
        <v>4.5</v>
      </c>
      <c r="M9" s="39" t="n">
        <v>5</v>
      </c>
      <c r="N9" s="39" t="n">
        <v>4.5</v>
      </c>
      <c r="O9" s="39" t="n">
        <v>5</v>
      </c>
      <c r="P9" s="39" t="n">
        <v>4.5</v>
      </c>
      <c r="Q9" s="39" t="n">
        <v>4</v>
      </c>
      <c r="R9" s="39" t="n">
        <v>5</v>
      </c>
      <c r="S9" s="36">
        <f>D9*'Matriz Criterios'!H$53 + E9*'Matriz Criterios'!I$53 + F9*'Matriz Criterios'!J$53 + G9*'Matriz Criterios'!K$53 + H9*'Matriz Criterios'!L$53 + I9*'Matriz Criterios'!M$53 + J9*'Matriz Criterios'!N$53</f>
        <v/>
      </c>
      <c r="T9" s="37">
        <f>K9*'Matriz Criterios'!O$53 + L9*'Matriz Criterios'!P$53 + M9*'Matriz Criterios'!Q$53 + N9*'Matriz Criterios'!R$53 + O9*'Matriz Criterios'!S$53 + P9*'Matriz Criterios'!T$53 + Q9*'Matriz Criterios'!U$53 + R9*'Matriz Criterios'!V$53</f>
        <v/>
      </c>
    </row>
    <row r="10" ht="20" customHeight="1">
      <c r="A10" s="13" t="n">
        <v>5</v>
      </c>
      <c r="B10" s="34" t="inlineStr">
        <is>
          <t>Fernández Navarro, Lucía</t>
        </is>
      </c>
      <c r="C10" s="13" t="inlineStr">
        <is>
          <t>2º DAW</t>
        </is>
      </c>
      <c r="D10" s="35" t="n">
        <v>7.5</v>
      </c>
      <c r="E10" s="35" t="n">
        <v>8</v>
      </c>
      <c r="F10" s="35" t="n">
        <v>7</v>
      </c>
      <c r="G10" s="35" t="n">
        <v>7.5</v>
      </c>
      <c r="H10" s="35" t="n">
        <v>8</v>
      </c>
      <c r="I10" s="35" t="n">
        <v>7.5</v>
      </c>
      <c r="J10" s="35" t="n">
        <v>8.5</v>
      </c>
      <c r="K10" s="35" t="n">
        <v>7.5</v>
      </c>
      <c r="L10" s="35" t="n">
        <v>8</v>
      </c>
      <c r="M10" s="35" t="n">
        <v>8</v>
      </c>
      <c r="N10" s="35" t="n">
        <v>7.5</v>
      </c>
      <c r="O10" s="35" t="n">
        <v>8</v>
      </c>
      <c r="P10" s="35" t="n">
        <v>7.5</v>
      </c>
      <c r="Q10" s="35" t="n">
        <v>8</v>
      </c>
      <c r="R10" s="35" t="n">
        <v>8.5</v>
      </c>
      <c r="S10" s="36">
        <f>D10*'Matriz Criterios'!H$53 + E10*'Matriz Criterios'!I$53 + F10*'Matriz Criterios'!J$53 + G10*'Matriz Criterios'!K$53 + H10*'Matriz Criterios'!L$53 + I10*'Matriz Criterios'!M$53 + J10*'Matriz Criterios'!N$53</f>
        <v/>
      </c>
      <c r="T10" s="37">
        <f>K10*'Matriz Criterios'!O$53 + L10*'Matriz Criterios'!P$53 + M10*'Matriz Criterios'!Q$53 + N10*'Matriz Criterios'!R$53 + O10*'Matriz Criterios'!S$53 + P10*'Matriz Criterios'!T$53 + Q10*'Matriz Criterios'!U$53 + R10*'Matriz Criterios'!V$53</f>
        <v/>
      </c>
    </row>
    <row r="11" ht="20" customHeight="1">
      <c r="A11" s="21" t="n">
        <v>6</v>
      </c>
      <c r="B11" s="38" t="inlineStr">
        <is>
          <t>García Serrano, David</t>
        </is>
      </c>
      <c r="C11" s="21" t="inlineStr">
        <is>
          <t>2º DAW</t>
        </is>
      </c>
      <c r="D11" s="39" t="n">
        <v>8</v>
      </c>
      <c r="E11" s="39" t="n">
        <v>7.5</v>
      </c>
      <c r="F11" s="39" t="n">
        <v>8.5</v>
      </c>
      <c r="G11" s="39" t="n">
        <v>8</v>
      </c>
      <c r="H11" s="39" t="n">
        <v>8.5</v>
      </c>
      <c r="I11" s="39" t="n">
        <v>8</v>
      </c>
      <c r="J11" s="39" t="n">
        <v>8.5</v>
      </c>
      <c r="K11" s="39" t="n">
        <v>8</v>
      </c>
      <c r="L11" s="39" t="n">
        <v>8.5</v>
      </c>
      <c r="M11" s="39" t="n">
        <v>8</v>
      </c>
      <c r="N11" s="39" t="n">
        <v>8.5</v>
      </c>
      <c r="O11" s="39" t="n">
        <v>8</v>
      </c>
      <c r="P11" s="39" t="n">
        <v>8.5</v>
      </c>
      <c r="Q11" s="39" t="n">
        <v>8</v>
      </c>
      <c r="R11" s="39" t="n">
        <v>8.5</v>
      </c>
      <c r="S11" s="36">
        <f>D11*'Matriz Criterios'!H$53 + E11*'Matriz Criterios'!I$53 + F11*'Matriz Criterios'!J$53 + G11*'Matriz Criterios'!K$53 + H11*'Matriz Criterios'!L$53 + I11*'Matriz Criterios'!M$53 + J11*'Matriz Criterios'!N$53</f>
        <v/>
      </c>
      <c r="T11" s="37">
        <f>K11*'Matriz Criterios'!O$53 + L11*'Matriz Criterios'!P$53 + M11*'Matriz Criterios'!Q$53 + N11*'Matriz Criterios'!R$53 + O11*'Matriz Criterios'!S$53 + P11*'Matriz Criterios'!T$53 + Q11*'Matriz Criterios'!U$53 + R11*'Matriz Criterios'!V$53</f>
        <v/>
      </c>
    </row>
    <row r="12" ht="20" customHeight="1">
      <c r="A12" s="13" t="n">
        <v>7</v>
      </c>
      <c r="B12" s="34" t="inlineStr">
        <is>
          <t>Herrera Cruz, Marta</t>
        </is>
      </c>
      <c r="C12" s="13" t="inlineStr">
        <is>
          <t>2º DAW</t>
        </is>
      </c>
      <c r="D12" s="35" t="n">
        <v>9</v>
      </c>
      <c r="E12" s="35" t="n">
        <v>8.5</v>
      </c>
      <c r="F12" s="35" t="n">
        <v>9.5</v>
      </c>
      <c r="G12" s="35" t="n">
        <v>9</v>
      </c>
      <c r="H12" s="35" t="n">
        <v>9</v>
      </c>
      <c r="I12" s="35" t="n">
        <v>9</v>
      </c>
      <c r="J12" s="35" t="n">
        <v>9.5</v>
      </c>
      <c r="K12" s="35" t="n">
        <v>9</v>
      </c>
      <c r="L12" s="35" t="n">
        <v>9.5</v>
      </c>
      <c r="M12" s="35" t="n">
        <v>9</v>
      </c>
      <c r="N12" s="35" t="n">
        <v>9.5</v>
      </c>
      <c r="O12" s="35" t="n">
        <v>9</v>
      </c>
      <c r="P12" s="35" t="n">
        <v>9.5</v>
      </c>
      <c r="Q12" s="35" t="n">
        <v>9</v>
      </c>
      <c r="R12" s="35" t="n">
        <v>9.5</v>
      </c>
      <c r="S12" s="36">
        <f>D12*'Matriz Criterios'!H$53 + E12*'Matriz Criterios'!I$53 + F12*'Matriz Criterios'!J$53 + G12*'Matriz Criterios'!K$53 + H12*'Matriz Criterios'!L$53 + I12*'Matriz Criterios'!M$53 + J12*'Matriz Criterios'!N$53</f>
        <v/>
      </c>
      <c r="T12" s="37">
        <f>K12*'Matriz Criterios'!O$53 + L12*'Matriz Criterios'!P$53 + M12*'Matriz Criterios'!Q$53 + N12*'Matriz Criterios'!R$53 + O12*'Matriz Criterios'!S$53 + P12*'Matriz Criterios'!T$53 + Q12*'Matriz Criterios'!U$53 + R12*'Matriz Criterios'!V$53</f>
        <v/>
      </c>
    </row>
    <row r="13" ht="20" customHeight="1">
      <c r="A13" s="21" t="n">
        <v>8</v>
      </c>
      <c r="B13" s="38" t="inlineStr">
        <is>
          <t>Jiménez Ortiz, Pablo</t>
        </is>
      </c>
      <c r="C13" s="21" t="inlineStr">
        <is>
          <t>2º DAW</t>
        </is>
      </c>
      <c r="D13" s="39" t="n">
        <v>5.5</v>
      </c>
      <c r="E13" s="39" t="n">
        <v>6</v>
      </c>
      <c r="F13" s="39" t="n">
        <v>5.5</v>
      </c>
      <c r="G13" s="39" t="n">
        <v>5</v>
      </c>
      <c r="H13" s="39" t="n">
        <v>6</v>
      </c>
      <c r="I13" s="39" t="n">
        <v>5.5</v>
      </c>
      <c r="J13" s="39" t="n">
        <v>6.5</v>
      </c>
      <c r="K13" s="39" t="n">
        <v>5.5</v>
      </c>
      <c r="L13" s="39" t="n">
        <v>6</v>
      </c>
      <c r="M13" s="39" t="n">
        <v>5.5</v>
      </c>
      <c r="N13" s="39" t="n">
        <v>6</v>
      </c>
      <c r="O13" s="39" t="n">
        <v>5.5</v>
      </c>
      <c r="P13" s="39" t="n">
        <v>6</v>
      </c>
      <c r="Q13" s="39" t="n">
        <v>5.5</v>
      </c>
      <c r="R13" s="39" t="n">
        <v>6.5</v>
      </c>
      <c r="S13" s="36">
        <f>D13*'Matriz Criterios'!H$53 + E13*'Matriz Criterios'!I$53 + F13*'Matriz Criterios'!J$53 + G13*'Matriz Criterios'!K$53 + H13*'Matriz Criterios'!L$53 + I13*'Matriz Criterios'!M$53 + J13*'Matriz Criterios'!N$53</f>
        <v/>
      </c>
      <c r="T13" s="37">
        <f>K13*'Matriz Criterios'!O$53 + L13*'Matriz Criterios'!P$53 + M13*'Matriz Criterios'!Q$53 + N13*'Matriz Criterios'!R$53 + O13*'Matriz Criterios'!S$53 + P13*'Matriz Criterios'!T$53 + Q13*'Matriz Criterios'!U$53 + R13*'Matriz Criterios'!V$53</f>
        <v/>
      </c>
    </row>
    <row r="14" ht="20" customHeight="1">
      <c r="A14" s="13" t="n">
        <v>9</v>
      </c>
      <c r="B14" s="34" t="inlineStr">
        <is>
          <t>López Molina, Sara</t>
        </is>
      </c>
      <c r="C14" s="13" t="inlineStr">
        <is>
          <t>2º DAW</t>
        </is>
      </c>
      <c r="D14" s="35" t="n">
        <v>10</v>
      </c>
      <c r="E14" s="35" t="n">
        <v>9.5</v>
      </c>
      <c r="F14" s="35" t="n">
        <v>9.5</v>
      </c>
      <c r="G14" s="35" t="n">
        <v>10</v>
      </c>
      <c r="H14" s="35" t="n">
        <v>9.5</v>
      </c>
      <c r="I14" s="35" t="n">
        <v>10</v>
      </c>
      <c r="J14" s="35" t="n">
        <v>10</v>
      </c>
      <c r="K14" s="35" t="n">
        <v>10</v>
      </c>
      <c r="L14" s="35" t="n">
        <v>9.5</v>
      </c>
      <c r="M14" s="35" t="n">
        <v>10</v>
      </c>
      <c r="N14" s="35" t="n">
        <v>10</v>
      </c>
      <c r="O14" s="35" t="n">
        <v>9.5</v>
      </c>
      <c r="P14" s="35" t="n">
        <v>10</v>
      </c>
      <c r="Q14" s="35" t="n">
        <v>10</v>
      </c>
      <c r="R14" s="35" t="n">
        <v>10</v>
      </c>
      <c r="S14" s="36">
        <f>D14*'Matriz Criterios'!H$53 + E14*'Matriz Criterios'!I$53 + F14*'Matriz Criterios'!J$53 + G14*'Matriz Criterios'!K$53 + H14*'Matriz Criterios'!L$53 + I14*'Matriz Criterios'!M$53 + J14*'Matriz Criterios'!N$53</f>
        <v/>
      </c>
      <c r="T14" s="37">
        <f>K14*'Matriz Criterios'!O$53 + L14*'Matriz Criterios'!P$53 + M14*'Matriz Criterios'!Q$53 + N14*'Matriz Criterios'!R$53 + O14*'Matriz Criterios'!S$53 + P14*'Matriz Criterios'!T$53 + Q14*'Matriz Criterios'!U$53 + R14*'Matriz Criterios'!V$53</f>
        <v/>
      </c>
    </row>
    <row r="15" ht="20" customHeight="1">
      <c r="A15" s="21" t="n">
        <v>10</v>
      </c>
      <c r="B15" s="38" t="inlineStr">
        <is>
          <t>Martín Vega, Javier</t>
        </is>
      </c>
      <c r="C15" s="21" t="inlineStr">
        <is>
          <t>2º DAW</t>
        </is>
      </c>
      <c r="D15" s="39" t="n">
        <v>3.5</v>
      </c>
      <c r="E15" s="39" t="n">
        <v>4</v>
      </c>
      <c r="F15" s="39" t="n">
        <v>4</v>
      </c>
      <c r="G15" s="39" t="n">
        <v>4.5</v>
      </c>
      <c r="H15" s="39" t="n">
        <v>4</v>
      </c>
      <c r="I15" s="39" t="n">
        <v>3.5</v>
      </c>
      <c r="J15" s="39" t="n">
        <v>5</v>
      </c>
      <c r="K15" s="39" t="n">
        <v>4</v>
      </c>
      <c r="L15" s="39" t="n">
        <v>4.5</v>
      </c>
      <c r="M15" s="39" t="n">
        <v>4</v>
      </c>
      <c r="N15" s="39" t="n">
        <v>4</v>
      </c>
      <c r="O15" s="39" t="n">
        <v>4.5</v>
      </c>
      <c r="P15" s="39" t="n">
        <v>4</v>
      </c>
      <c r="Q15" s="39" t="n">
        <v>4</v>
      </c>
      <c r="R15" s="39" t="n">
        <v>4.5</v>
      </c>
      <c r="S15" s="36">
        <f>D15*'Matriz Criterios'!H$53 + E15*'Matriz Criterios'!I$53 + F15*'Matriz Criterios'!J$53 + G15*'Matriz Criterios'!K$53 + H15*'Matriz Criterios'!L$53 + I15*'Matriz Criterios'!M$53 + J15*'Matriz Criterios'!N$53</f>
        <v/>
      </c>
      <c r="T15" s="37">
        <f>K15*'Matriz Criterios'!O$53 + L15*'Matriz Criterios'!P$53 + M15*'Matriz Criterios'!Q$53 + N15*'Matriz Criterios'!R$53 + O15*'Matriz Criterios'!S$53 + P15*'Matriz Criterios'!T$53 + Q15*'Matriz Criterios'!U$53 + R15*'Matriz Criterios'!V$53</f>
        <v/>
      </c>
    </row>
    <row r="16" ht="20" customHeight="1">
      <c r="A16" s="13" t="n">
        <v>11</v>
      </c>
      <c r="B16" s="34" t="inlineStr">
        <is>
          <t>Navarro Gil, Ana</t>
        </is>
      </c>
      <c r="C16" s="13" t="inlineStr">
        <is>
          <t>2º DAW</t>
        </is>
      </c>
      <c r="D16" s="35" t="n">
        <v>8</v>
      </c>
      <c r="E16" s="35" t="n">
        <v>8.5</v>
      </c>
      <c r="F16" s="35" t="n">
        <v>8</v>
      </c>
      <c r="G16" s="35" t="n">
        <v>8.5</v>
      </c>
      <c r="H16" s="35" t="n">
        <v>8</v>
      </c>
      <c r="I16" s="35" t="n">
        <v>8.5</v>
      </c>
      <c r="J16" s="35" t="n">
        <v>9</v>
      </c>
      <c r="K16" s="35" t="n">
        <v>8.5</v>
      </c>
      <c r="L16" s="35" t="n">
        <v>8</v>
      </c>
      <c r="M16" s="35" t="n">
        <v>8.5</v>
      </c>
      <c r="N16" s="35" t="n">
        <v>8.5</v>
      </c>
      <c r="O16" s="35" t="n">
        <v>8</v>
      </c>
      <c r="P16" s="35" t="n">
        <v>8.5</v>
      </c>
      <c r="Q16" s="35" t="n">
        <v>8.5</v>
      </c>
      <c r="R16" s="35" t="n">
        <v>9</v>
      </c>
      <c r="S16" s="36">
        <f>D16*'Matriz Criterios'!H$53 + E16*'Matriz Criterios'!I$53 + F16*'Matriz Criterios'!J$53 + G16*'Matriz Criterios'!K$53 + H16*'Matriz Criterios'!L$53 + I16*'Matriz Criterios'!M$53 + J16*'Matriz Criterios'!N$53</f>
        <v/>
      </c>
      <c r="T16" s="37">
        <f>K16*'Matriz Criterios'!O$53 + L16*'Matriz Criterios'!P$53 + M16*'Matriz Criterios'!Q$53 + N16*'Matriz Criterios'!R$53 + O16*'Matriz Criterios'!S$53 + P16*'Matriz Criterios'!T$53 + Q16*'Matriz Criterios'!U$53 + R16*'Matriz Criterios'!V$53</f>
        <v/>
      </c>
    </row>
    <row r="17" ht="20" customHeight="1">
      <c r="A17" s="21" t="n">
        <v>12</v>
      </c>
      <c r="B17" s="38" t="inlineStr">
        <is>
          <t>Pérez Rubio, Álvaro</t>
        </is>
      </c>
      <c r="C17" s="21" t="inlineStr">
        <is>
          <t>2º DAW</t>
        </is>
      </c>
      <c r="D17" s="39" t="n">
        <v>7</v>
      </c>
      <c r="E17" s="39" t="n">
        <v>6.5</v>
      </c>
      <c r="F17" s="39" t="n">
        <v>7.5</v>
      </c>
      <c r="G17" s="39" t="n">
        <v>7</v>
      </c>
      <c r="H17" s="39" t="n">
        <v>7</v>
      </c>
      <c r="I17" s="39" t="n">
        <v>7</v>
      </c>
      <c r="J17" s="39" t="n">
        <v>7.5</v>
      </c>
      <c r="K17" s="39" t="n">
        <v>7.5</v>
      </c>
      <c r="L17" s="39" t="n">
        <v>7</v>
      </c>
      <c r="M17" s="39" t="n">
        <v>7.5</v>
      </c>
      <c r="N17" s="39" t="n">
        <v>7</v>
      </c>
      <c r="O17" s="39" t="n">
        <v>7.5</v>
      </c>
      <c r="P17" s="39" t="n">
        <v>7</v>
      </c>
      <c r="Q17" s="39" t="n">
        <v>7.5</v>
      </c>
      <c r="R17" s="39" t="n">
        <v>7.5</v>
      </c>
      <c r="S17" s="36">
        <f>D17*'Matriz Criterios'!H$53 + E17*'Matriz Criterios'!I$53 + F17*'Matriz Criterios'!J$53 + G17*'Matriz Criterios'!K$53 + H17*'Matriz Criterios'!L$53 + I17*'Matriz Criterios'!M$53 + J17*'Matriz Criterios'!N$53</f>
        <v/>
      </c>
      <c r="T17" s="37">
        <f>K17*'Matriz Criterios'!O$53 + L17*'Matriz Criterios'!P$53 + M17*'Matriz Criterios'!Q$53 + N17*'Matriz Criterios'!R$53 + O17*'Matriz Criterios'!S$53 + P17*'Matriz Criterios'!T$53 + Q17*'Matriz Criterios'!U$53 + R17*'Matriz Criterios'!V$53</f>
        <v/>
      </c>
    </row>
    <row r="18" ht="20" customHeight="1">
      <c r="A18" s="13" t="n">
        <v>13</v>
      </c>
      <c r="B18" s="34" t="inlineStr">
        <is>
          <t>Ramírez Soto, Carmen</t>
        </is>
      </c>
      <c r="C18" s="13" t="inlineStr">
        <is>
          <t>2º DAW</t>
        </is>
      </c>
      <c r="D18" s="35" t="n">
        <v>6.5</v>
      </c>
      <c r="E18" s="35" t="n">
        <v>7</v>
      </c>
      <c r="F18" s="35" t="n">
        <v>6</v>
      </c>
      <c r="G18" s="35" t="n">
        <v>6.5</v>
      </c>
      <c r="H18" s="35" t="n">
        <v>7</v>
      </c>
      <c r="I18" s="35" t="n">
        <v>6.5</v>
      </c>
      <c r="J18" s="35" t="n">
        <v>7</v>
      </c>
      <c r="K18" s="35" t="n">
        <v>7</v>
      </c>
      <c r="L18" s="35" t="n">
        <v>6.5</v>
      </c>
      <c r="M18" s="35" t="n">
        <v>7</v>
      </c>
      <c r="N18" s="35" t="n">
        <v>6.5</v>
      </c>
      <c r="O18" s="35" t="n">
        <v>7</v>
      </c>
      <c r="P18" s="35" t="n">
        <v>6.5</v>
      </c>
      <c r="Q18" s="35" t="n">
        <v>7</v>
      </c>
      <c r="R18" s="35" t="n">
        <v>7</v>
      </c>
      <c r="S18" s="36">
        <f>D18*'Matriz Criterios'!H$53 + E18*'Matriz Criterios'!I$53 + F18*'Matriz Criterios'!J$53 + G18*'Matriz Criterios'!K$53 + H18*'Matriz Criterios'!L$53 + I18*'Matriz Criterios'!M$53 + J18*'Matriz Criterios'!N$53</f>
        <v/>
      </c>
      <c r="T18" s="37">
        <f>K18*'Matriz Criterios'!O$53 + L18*'Matriz Criterios'!P$53 + M18*'Matriz Criterios'!Q$53 + N18*'Matriz Criterios'!R$53 + O18*'Matriz Criterios'!S$53 + P18*'Matriz Criterios'!T$53 + Q18*'Matriz Criterios'!U$53 + R18*'Matriz Criterios'!V$53</f>
        <v/>
      </c>
    </row>
    <row r="19" ht="20" customHeight="1">
      <c r="A19" s="21" t="n">
        <v>14</v>
      </c>
      <c r="B19" s="38" t="inlineStr">
        <is>
          <t>Sánchez Vidal, Daniel</t>
        </is>
      </c>
      <c r="C19" s="21" t="inlineStr">
        <is>
          <t>2º DAW</t>
        </is>
      </c>
      <c r="D19" s="39" t="n">
        <v>8.5</v>
      </c>
      <c r="E19" s="39" t="n">
        <v>9</v>
      </c>
      <c r="F19" s="39" t="n">
        <v>8.5</v>
      </c>
      <c r="G19" s="39" t="n">
        <v>9</v>
      </c>
      <c r="H19" s="39" t="n">
        <v>8.5</v>
      </c>
      <c r="I19" s="39" t="n">
        <v>9</v>
      </c>
      <c r="J19" s="39" t="n">
        <v>9.5</v>
      </c>
      <c r="K19" s="39" t="n">
        <v>9</v>
      </c>
      <c r="L19" s="39" t="n">
        <v>8.5</v>
      </c>
      <c r="M19" s="39" t="n">
        <v>9</v>
      </c>
      <c r="N19" s="39" t="n">
        <v>9</v>
      </c>
      <c r="O19" s="39" t="n">
        <v>8.5</v>
      </c>
      <c r="P19" s="39" t="n">
        <v>9</v>
      </c>
      <c r="Q19" s="39" t="n">
        <v>9</v>
      </c>
      <c r="R19" s="39" t="n">
        <v>9.5</v>
      </c>
      <c r="S19" s="36">
        <f>D19*'Matriz Criterios'!H$53 + E19*'Matriz Criterios'!I$53 + F19*'Matriz Criterios'!J$53 + G19*'Matriz Criterios'!K$53 + H19*'Matriz Criterios'!L$53 + I19*'Matriz Criterios'!M$53 + J19*'Matriz Criterios'!N$53</f>
        <v/>
      </c>
      <c r="T19" s="37">
        <f>K19*'Matriz Criterios'!O$53 + L19*'Matriz Criterios'!P$53 + M19*'Matriz Criterios'!Q$53 + N19*'Matriz Criterios'!R$53 + O19*'Matriz Criterios'!S$53 + P19*'Matriz Criterios'!T$53 + Q19*'Matriz Criterios'!U$53 + R19*'Matriz Criterios'!V$53</f>
        <v/>
      </c>
    </row>
    <row r="20" ht="20" customHeight="1">
      <c r="A20" s="13" t="n">
        <v>15</v>
      </c>
      <c r="B20" s="34" t="inlineStr">
        <is>
          <t>Torres Lozano, Irene</t>
        </is>
      </c>
      <c r="C20" s="13" t="inlineStr">
        <is>
          <t>2º DAW</t>
        </is>
      </c>
      <c r="D20" s="35" t="n">
        <v>9</v>
      </c>
      <c r="E20" s="35" t="n">
        <v>9.5</v>
      </c>
      <c r="F20" s="35" t="n">
        <v>9</v>
      </c>
      <c r="G20" s="35" t="n">
        <v>9.5</v>
      </c>
      <c r="H20" s="35" t="n">
        <v>9</v>
      </c>
      <c r="I20" s="35" t="n">
        <v>9.5</v>
      </c>
      <c r="J20" s="35" t="n">
        <v>9.5</v>
      </c>
      <c r="K20" s="35" t="n">
        <v>9.5</v>
      </c>
      <c r="L20" s="35" t="n">
        <v>9</v>
      </c>
      <c r="M20" s="35" t="n">
        <v>9.5</v>
      </c>
      <c r="N20" s="35" t="n">
        <v>10</v>
      </c>
      <c r="O20" s="35" t="n">
        <v>9.5</v>
      </c>
      <c r="P20" s="35" t="n">
        <v>9.5</v>
      </c>
      <c r="Q20" s="35" t="n">
        <v>9.5</v>
      </c>
      <c r="R20" s="35" t="n">
        <v>10</v>
      </c>
      <c r="S20" s="36">
        <f>D20*'Matriz Criterios'!H$53 + E20*'Matriz Criterios'!I$53 + F20*'Matriz Criterios'!J$53 + G20*'Matriz Criterios'!K$53 + H20*'Matriz Criterios'!L$53 + I20*'Matriz Criterios'!M$53 + J20*'Matriz Criterios'!N$53</f>
        <v/>
      </c>
      <c r="T20" s="37">
        <f>K20*'Matriz Criterios'!O$53 + L20*'Matriz Criterios'!P$53 + M20*'Matriz Criterios'!Q$53 + N20*'Matriz Criterios'!R$53 + O20*'Matriz Criterios'!S$53 + P20*'Matriz Criterios'!T$53 + Q20*'Matriz Criterios'!U$53 + R20*'Matriz Criterios'!V$53</f>
        <v/>
      </c>
    </row>
    <row r="21" ht="24" customHeight="1">
      <c r="A21" s="40" t="inlineStr">
        <is>
          <t>PROMEDIO DEL GRUPO</t>
        </is>
      </c>
      <c r="B21" s="41" t="n"/>
      <c r="C21" s="41" t="n"/>
      <c r="D21" s="42">
        <f>AVERAGE(D6:D20)</f>
        <v/>
      </c>
      <c r="E21" s="42">
        <f>AVERAGE(E6:E20)</f>
        <v/>
      </c>
      <c r="F21" s="42">
        <f>AVERAGE(F6:F20)</f>
        <v/>
      </c>
      <c r="G21" s="42">
        <f>AVERAGE(G6:G20)</f>
        <v/>
      </c>
      <c r="H21" s="42">
        <f>AVERAGE(H6:H20)</f>
        <v/>
      </c>
      <c r="I21" s="42">
        <f>AVERAGE(I6:I20)</f>
        <v/>
      </c>
      <c r="J21" s="42">
        <f>AVERAGE(J6:J20)</f>
        <v/>
      </c>
      <c r="K21" s="42">
        <f>AVERAGE(K6:K20)</f>
        <v/>
      </c>
      <c r="L21" s="42">
        <f>AVERAGE(L6:L20)</f>
        <v/>
      </c>
      <c r="M21" s="42">
        <f>AVERAGE(M6:M20)</f>
        <v/>
      </c>
      <c r="N21" s="42">
        <f>AVERAGE(N6:N20)</f>
        <v/>
      </c>
      <c r="O21" s="42">
        <f>AVERAGE(O6:O20)</f>
        <v/>
      </c>
      <c r="P21" s="42">
        <f>AVERAGE(P6:P20)</f>
        <v/>
      </c>
      <c r="Q21" s="42">
        <f>AVERAGE(Q6:Q20)</f>
        <v/>
      </c>
      <c r="R21" s="42">
        <f>AVERAGE(R6:R20)</f>
        <v/>
      </c>
      <c r="S21" s="42">
        <f>AVERAGE(S6:S20)</f>
        <v/>
      </c>
      <c r="T21" s="42">
        <f>AVERAGE(T6:T20)</f>
        <v/>
      </c>
    </row>
  </sheetData>
  <mergeCells count="7">
    <mergeCell ref="A1:T1"/>
    <mergeCell ref="K4:R4"/>
    <mergeCell ref="D4:J4"/>
    <mergeCell ref="A2:T2"/>
    <mergeCell ref="A21:C21"/>
    <mergeCell ref="A4:C4"/>
    <mergeCell ref="S4:T4"/>
  </mergeCells>
  <conditionalFormatting sqref="S6:T20">
    <cfRule type="cellIs" priority="1" operator="greaterThanOrEqual" dxfId="0" stopIfTrue="1">
      <formula>5.0</formula>
    </cfRule>
    <cfRule type="cellIs" priority="2" operator="lessThan" dxfId="1" stopIfTrue="1">
      <formula>5.0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21"/>
  <sheetViews>
    <sheetView showGridLines="1" workbookViewId="0">
      <selection activeCell="A1" sqref="A1"/>
    </sheetView>
  </sheetViews>
  <sheetFormatPr baseColWidth="8" defaultRowHeight="15"/>
  <cols>
    <col width="5" customWidth="1" min="1" max="1"/>
    <col width="24"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12" customWidth="1" min="48" max="48"/>
    <col width="12" customWidth="1" min="49" max="49"/>
  </cols>
  <sheetData>
    <row r="1" ht="36" customHeight="1">
      <c r="A1" s="1" t="inlineStr">
        <is>
          <t>CALIFICACIÓN DETALLADA POR CRITERIOS DE EVALUACIÓN (CE1.a a CE6.f) — DISEÑO DE INTERFACES WEB</t>
        </is>
      </c>
    </row>
    <row r="2" ht="20" customHeight="1">
      <c r="A2" s="2" t="inlineStr">
        <is>
          <t>Cálculo matemático automático: cada criterio se calcula promediando exclusivamente las tareas donde tiene marcada una 'X' en la 'Matriz Criterios'.</t>
        </is>
      </c>
    </row>
    <row r="4">
      <c r="A4" s="3" t="inlineStr">
        <is>
          <t>ALUMNADO</t>
        </is>
      </c>
      <c r="C4" s="4" t="inlineStr">
        <is>
          <t>RA1 (12%) — Planificación, Prototipado, Color, Tipografía y Guía de Estilo</t>
        </is>
      </c>
      <c r="I4" s="5" t="inlineStr">
        <is>
          <t>RA2 (20%) — HTML Semántico, CSS Moderno, Flexbox, Grid, Responsive y Preprocesadores</t>
        </is>
      </c>
      <c r="S4" s="6" t="inlineStr">
        <is>
          <t>RA3 (16%) — Multimedia Web, Formatos (WebP, SVG), Audio/Vídeo y Marco Legal TRLPI</t>
        </is>
      </c>
      <c r="AA4" s="43" t="inlineStr">
        <is>
          <t>RA4 (24%) — Interactividad, Animaciones, Framework Frontend Angular y Formularios</t>
        </is>
      </c>
      <c r="AH4" s="44" t="inlineStr">
        <is>
          <t>RA5 (16%) — Accesibilidad Web Universal (WCAG 2.2, WAI-ARIA) y Auditorías</t>
        </is>
      </c>
      <c r="AP4" s="45" t="inlineStr">
        <is>
          <t>RA6 (12%) — Usabilidad Web, Heurísticas de Nielsen, Métricas SUS y DCU</t>
        </is>
      </c>
      <c r="AV4" s="3" t="inlineStr">
        <is>
          <t>RESUMEN DE CRITERIOS</t>
        </is>
      </c>
    </row>
    <row r="5" ht="30" customHeight="1">
      <c r="A5" s="32" t="inlineStr">
        <is>
          <t>Nº</t>
        </is>
      </c>
      <c r="B5" s="46" t="inlineStr">
        <is>
          <t>Apellidos, Nombre</t>
        </is>
      </c>
      <c r="C5" s="8" t="inlineStr">
        <is>
          <t>CE1.a</t>
        </is>
      </c>
      <c r="D5" s="8" t="inlineStr">
        <is>
          <t>CE1.b</t>
        </is>
      </c>
      <c r="E5" s="8" t="inlineStr">
        <is>
          <t>CE1.c</t>
        </is>
      </c>
      <c r="F5" s="8" t="inlineStr">
        <is>
          <t>CE1.d</t>
        </is>
      </c>
      <c r="G5" s="8" t="inlineStr">
        <is>
          <t>CE1.e</t>
        </is>
      </c>
      <c r="H5" s="8" t="inlineStr">
        <is>
          <t>CE1.f</t>
        </is>
      </c>
      <c r="I5" s="9" t="inlineStr">
        <is>
          <t>CE2.a</t>
        </is>
      </c>
      <c r="J5" s="9" t="inlineStr">
        <is>
          <t>CE2.b</t>
        </is>
      </c>
      <c r="K5" s="9" t="inlineStr">
        <is>
          <t>CE2.c</t>
        </is>
      </c>
      <c r="L5" s="9" t="inlineStr">
        <is>
          <t>CE2.d</t>
        </is>
      </c>
      <c r="M5" s="9" t="inlineStr">
        <is>
          <t>CE2.e</t>
        </is>
      </c>
      <c r="N5" s="9" t="inlineStr">
        <is>
          <t>CE2.f</t>
        </is>
      </c>
      <c r="O5" s="9" t="inlineStr">
        <is>
          <t>CE2.g</t>
        </is>
      </c>
      <c r="P5" s="9" t="inlineStr">
        <is>
          <t>CE2.h</t>
        </is>
      </c>
      <c r="Q5" s="9" t="inlineStr">
        <is>
          <t>CE2.i</t>
        </is>
      </c>
      <c r="R5" s="9" t="inlineStr">
        <is>
          <t>CE2.j</t>
        </is>
      </c>
      <c r="S5" s="33" t="inlineStr">
        <is>
          <t>CE3.a</t>
        </is>
      </c>
      <c r="T5" s="33" t="inlineStr">
        <is>
          <t>CE3.b</t>
        </is>
      </c>
      <c r="U5" s="33" t="inlineStr">
        <is>
          <t>CE3.c</t>
        </is>
      </c>
      <c r="V5" s="33" t="inlineStr">
        <is>
          <t>CE3.d</t>
        </is>
      </c>
      <c r="W5" s="33" t="inlineStr">
        <is>
          <t>CE3.e</t>
        </is>
      </c>
      <c r="X5" s="33" t="inlineStr">
        <is>
          <t>CE3.f</t>
        </is>
      </c>
      <c r="Y5" s="33" t="inlineStr">
        <is>
          <t>CE3.g</t>
        </is>
      </c>
      <c r="Z5" s="33" t="inlineStr">
        <is>
          <t>CE3.h</t>
        </is>
      </c>
      <c r="AA5" s="47" t="inlineStr">
        <is>
          <t>CE4.a</t>
        </is>
      </c>
      <c r="AB5" s="47" t="inlineStr">
        <is>
          <t>CE4.b</t>
        </is>
      </c>
      <c r="AC5" s="47" t="inlineStr">
        <is>
          <t>CE4.c</t>
        </is>
      </c>
      <c r="AD5" s="47" t="inlineStr">
        <is>
          <t>CE4.d</t>
        </is>
      </c>
      <c r="AE5" s="47" t="inlineStr">
        <is>
          <t>CE4.e</t>
        </is>
      </c>
      <c r="AF5" s="47" t="inlineStr">
        <is>
          <t>CE4.f</t>
        </is>
      </c>
      <c r="AG5" s="47" t="inlineStr">
        <is>
          <t>CE4.g</t>
        </is>
      </c>
      <c r="AH5" s="48" t="inlineStr">
        <is>
          <t>CE5.a</t>
        </is>
      </c>
      <c r="AI5" s="48" t="inlineStr">
        <is>
          <t>CE5.b</t>
        </is>
      </c>
      <c r="AJ5" s="48" t="inlineStr">
        <is>
          <t>CE5.c</t>
        </is>
      </c>
      <c r="AK5" s="48" t="inlineStr">
        <is>
          <t>CE5.d</t>
        </is>
      </c>
      <c r="AL5" s="48" t="inlineStr">
        <is>
          <t>CE5.e</t>
        </is>
      </c>
      <c r="AM5" s="48" t="inlineStr">
        <is>
          <t>CE5.f</t>
        </is>
      </c>
      <c r="AN5" s="48" t="inlineStr">
        <is>
          <t>CE5.g</t>
        </is>
      </c>
      <c r="AO5" s="48" t="inlineStr">
        <is>
          <t>CE5.h</t>
        </is>
      </c>
      <c r="AP5" s="49" t="inlineStr">
        <is>
          <t>CE6.a</t>
        </is>
      </c>
      <c r="AQ5" s="49" t="inlineStr">
        <is>
          <t>CE6.b</t>
        </is>
      </c>
      <c r="AR5" s="49" t="inlineStr">
        <is>
          <t>CE6.c</t>
        </is>
      </c>
      <c r="AS5" s="49" t="inlineStr">
        <is>
          <t>CE6.d</t>
        </is>
      </c>
      <c r="AT5" s="49" t="inlineStr">
        <is>
          <t>CE6.e</t>
        </is>
      </c>
      <c r="AU5" s="49" t="inlineStr">
        <is>
          <t>CE6.f</t>
        </is>
      </c>
      <c r="AV5" s="32" t="inlineStr">
        <is>
          <t>Media CEs
Superados</t>
        </is>
      </c>
      <c r="AW5" s="32" t="inlineStr">
        <is>
          <t>Nº CEs &gt;= 5
(de 45)</t>
        </is>
      </c>
    </row>
    <row r="6" ht="20" customHeight="1">
      <c r="A6" s="13" t="n">
        <v>1</v>
      </c>
      <c r="B6" s="34" t="inlineStr">
        <is>
          <t>Álvarez Gómez, Laura</t>
        </is>
      </c>
      <c r="C6" s="35">
        <f>IF(SUMPRODUCT(('Matriz Criterios'!$H$6:$V$6="X")*ISNUMBER('Registro Notas'!$D6:$R6))=0, "-", SUMPRODUCT(('Matriz Criterios'!$H$6:$V$6="X")*ISNUMBER('Registro Notas'!$D6:$R6)*'Registro Notas'!$D6:$R6)/SUMPRODUCT(('Matriz Criterios'!$H$6:$V$6="X")*ISNUMBER('Registro Notas'!$D6:$R6)))</f>
        <v/>
      </c>
      <c r="D6" s="35">
        <f>IF(SUMPRODUCT(('Matriz Criterios'!$H$7:$V$7="X")*ISNUMBER('Registro Notas'!$D6:$R6))=0, "-", SUMPRODUCT(('Matriz Criterios'!$H$7:$V$7="X")*ISNUMBER('Registro Notas'!$D6:$R6)*'Registro Notas'!$D6:$R6)/SUMPRODUCT(('Matriz Criterios'!$H$7:$V$7="X")*ISNUMBER('Registro Notas'!$D6:$R6)))</f>
        <v/>
      </c>
      <c r="E6" s="35">
        <f>IF(SUMPRODUCT(('Matriz Criterios'!$H$8:$V$8="X")*ISNUMBER('Registro Notas'!$D6:$R6))=0, "-", SUMPRODUCT(('Matriz Criterios'!$H$8:$V$8="X")*ISNUMBER('Registro Notas'!$D6:$R6)*'Registro Notas'!$D6:$R6)/SUMPRODUCT(('Matriz Criterios'!$H$8:$V$8="X")*ISNUMBER('Registro Notas'!$D6:$R6)))</f>
        <v/>
      </c>
      <c r="F6" s="35">
        <f>IF(SUMPRODUCT(('Matriz Criterios'!$H$9:$V$9="X")*ISNUMBER('Registro Notas'!$D6:$R6))=0, "-", SUMPRODUCT(('Matriz Criterios'!$H$9:$V$9="X")*ISNUMBER('Registro Notas'!$D6:$R6)*'Registro Notas'!$D6:$R6)/SUMPRODUCT(('Matriz Criterios'!$H$9:$V$9="X")*ISNUMBER('Registro Notas'!$D6:$R6)))</f>
        <v/>
      </c>
      <c r="G6" s="35">
        <f>IF(SUMPRODUCT(('Matriz Criterios'!$H$10:$V$10="X")*ISNUMBER('Registro Notas'!$D6:$R6))=0, "-", SUMPRODUCT(('Matriz Criterios'!$H$10:$V$10="X")*ISNUMBER('Registro Notas'!$D6:$R6)*'Registro Notas'!$D6:$R6)/SUMPRODUCT(('Matriz Criterios'!$H$10:$V$10="X")*ISNUMBER('Registro Notas'!$D6:$R6)))</f>
        <v/>
      </c>
      <c r="H6" s="35">
        <f>IF(SUMPRODUCT(('Matriz Criterios'!$H$11:$V$11="X")*ISNUMBER('Registro Notas'!$D6:$R6))=0, "-", SUMPRODUCT(('Matriz Criterios'!$H$11:$V$11="X")*ISNUMBER('Registro Notas'!$D6:$R6)*'Registro Notas'!$D6:$R6)/SUMPRODUCT(('Matriz Criterios'!$H$11:$V$11="X")*ISNUMBER('Registro Notas'!$D6:$R6)))</f>
        <v/>
      </c>
      <c r="I6" s="35">
        <f>IF(SUMPRODUCT(('Matriz Criterios'!$H$12:$V$12="X")*ISNUMBER('Registro Notas'!$D6:$R6))=0, "-", SUMPRODUCT(('Matriz Criterios'!$H$12:$V$12="X")*ISNUMBER('Registro Notas'!$D6:$R6)*'Registro Notas'!$D6:$R6)/SUMPRODUCT(('Matriz Criterios'!$H$12:$V$12="X")*ISNUMBER('Registro Notas'!$D6:$R6)))</f>
        <v/>
      </c>
      <c r="J6" s="35">
        <f>IF(SUMPRODUCT(('Matriz Criterios'!$H$13:$V$13="X")*ISNUMBER('Registro Notas'!$D6:$R6))=0, "-", SUMPRODUCT(('Matriz Criterios'!$H$13:$V$13="X")*ISNUMBER('Registro Notas'!$D6:$R6)*'Registro Notas'!$D6:$R6)/SUMPRODUCT(('Matriz Criterios'!$H$13:$V$13="X")*ISNUMBER('Registro Notas'!$D6:$R6)))</f>
        <v/>
      </c>
      <c r="K6" s="35">
        <f>IF(SUMPRODUCT(('Matriz Criterios'!$H$14:$V$14="X")*ISNUMBER('Registro Notas'!$D6:$R6))=0, "-", SUMPRODUCT(('Matriz Criterios'!$H$14:$V$14="X")*ISNUMBER('Registro Notas'!$D6:$R6)*'Registro Notas'!$D6:$R6)/SUMPRODUCT(('Matriz Criterios'!$H$14:$V$14="X")*ISNUMBER('Registro Notas'!$D6:$R6)))</f>
        <v/>
      </c>
      <c r="L6" s="35">
        <f>IF(SUMPRODUCT(('Matriz Criterios'!$H$15:$V$15="X")*ISNUMBER('Registro Notas'!$D6:$R6))=0, "-", SUMPRODUCT(('Matriz Criterios'!$H$15:$V$15="X")*ISNUMBER('Registro Notas'!$D6:$R6)*'Registro Notas'!$D6:$R6)/SUMPRODUCT(('Matriz Criterios'!$H$15:$V$15="X")*ISNUMBER('Registro Notas'!$D6:$R6)))</f>
        <v/>
      </c>
      <c r="M6" s="35">
        <f>IF(SUMPRODUCT(('Matriz Criterios'!$H$16:$V$16="X")*ISNUMBER('Registro Notas'!$D6:$R6))=0, "-", SUMPRODUCT(('Matriz Criterios'!$H$16:$V$16="X")*ISNUMBER('Registro Notas'!$D6:$R6)*'Registro Notas'!$D6:$R6)/SUMPRODUCT(('Matriz Criterios'!$H$16:$V$16="X")*ISNUMBER('Registro Notas'!$D6:$R6)))</f>
        <v/>
      </c>
      <c r="N6" s="35">
        <f>IF(SUMPRODUCT(('Matriz Criterios'!$H$17:$V$17="X")*ISNUMBER('Registro Notas'!$D6:$R6))=0, "-", SUMPRODUCT(('Matriz Criterios'!$H$17:$V$17="X")*ISNUMBER('Registro Notas'!$D6:$R6)*'Registro Notas'!$D6:$R6)/SUMPRODUCT(('Matriz Criterios'!$H$17:$V$17="X")*ISNUMBER('Registro Notas'!$D6:$R6)))</f>
        <v/>
      </c>
      <c r="O6" s="35">
        <f>IF(SUMPRODUCT(('Matriz Criterios'!$H$18:$V$18="X")*ISNUMBER('Registro Notas'!$D6:$R6))=0, "-", SUMPRODUCT(('Matriz Criterios'!$H$18:$V$18="X")*ISNUMBER('Registro Notas'!$D6:$R6)*'Registro Notas'!$D6:$R6)/SUMPRODUCT(('Matriz Criterios'!$H$18:$V$18="X")*ISNUMBER('Registro Notas'!$D6:$R6)))</f>
        <v/>
      </c>
      <c r="P6" s="35">
        <f>IF(SUMPRODUCT(('Matriz Criterios'!$H$19:$V$19="X")*ISNUMBER('Registro Notas'!$D6:$R6))=0, "-", SUMPRODUCT(('Matriz Criterios'!$H$19:$V$19="X")*ISNUMBER('Registro Notas'!$D6:$R6)*'Registro Notas'!$D6:$R6)/SUMPRODUCT(('Matriz Criterios'!$H$19:$V$19="X")*ISNUMBER('Registro Notas'!$D6:$R6)))</f>
        <v/>
      </c>
      <c r="Q6" s="35">
        <f>IF(SUMPRODUCT(('Matriz Criterios'!$H$20:$V$20="X")*ISNUMBER('Registro Notas'!$D6:$R6))=0, "-", SUMPRODUCT(('Matriz Criterios'!$H$20:$V$20="X")*ISNUMBER('Registro Notas'!$D6:$R6)*'Registro Notas'!$D6:$R6)/SUMPRODUCT(('Matriz Criterios'!$H$20:$V$20="X")*ISNUMBER('Registro Notas'!$D6:$R6)))</f>
        <v/>
      </c>
      <c r="R6" s="35">
        <f>IF(SUMPRODUCT(('Matriz Criterios'!$H$21:$V$21="X")*ISNUMBER('Registro Notas'!$D6:$R6))=0, "-", SUMPRODUCT(('Matriz Criterios'!$H$21:$V$21="X")*ISNUMBER('Registro Notas'!$D6:$R6)*'Registro Notas'!$D6:$R6)/SUMPRODUCT(('Matriz Criterios'!$H$21:$V$21="X")*ISNUMBER('Registro Notas'!$D6:$R6)))</f>
        <v/>
      </c>
      <c r="S6" s="35">
        <f>IF(SUMPRODUCT(('Matriz Criterios'!$H$22:$V$22="X")*ISNUMBER('Registro Notas'!$D6:$R6))=0, "-", SUMPRODUCT(('Matriz Criterios'!$H$22:$V$22="X")*ISNUMBER('Registro Notas'!$D6:$R6)*'Registro Notas'!$D6:$R6)/SUMPRODUCT(('Matriz Criterios'!$H$22:$V$22="X")*ISNUMBER('Registro Notas'!$D6:$R6)))</f>
        <v/>
      </c>
      <c r="T6" s="35">
        <f>IF(SUMPRODUCT(('Matriz Criterios'!$H$23:$V$23="X")*ISNUMBER('Registro Notas'!$D6:$R6))=0, "-", SUMPRODUCT(('Matriz Criterios'!$H$23:$V$23="X")*ISNUMBER('Registro Notas'!$D6:$R6)*'Registro Notas'!$D6:$R6)/SUMPRODUCT(('Matriz Criterios'!$H$23:$V$23="X")*ISNUMBER('Registro Notas'!$D6:$R6)))</f>
        <v/>
      </c>
      <c r="U6" s="35">
        <f>IF(SUMPRODUCT(('Matriz Criterios'!$H$24:$V$24="X")*ISNUMBER('Registro Notas'!$D6:$R6))=0, "-", SUMPRODUCT(('Matriz Criterios'!$H$24:$V$24="X")*ISNUMBER('Registro Notas'!$D6:$R6)*'Registro Notas'!$D6:$R6)/SUMPRODUCT(('Matriz Criterios'!$H$24:$V$24="X")*ISNUMBER('Registro Notas'!$D6:$R6)))</f>
        <v/>
      </c>
      <c r="V6" s="35">
        <f>IF(SUMPRODUCT(('Matriz Criterios'!$H$25:$V$25="X")*ISNUMBER('Registro Notas'!$D6:$R6))=0, "-", SUMPRODUCT(('Matriz Criterios'!$H$25:$V$25="X")*ISNUMBER('Registro Notas'!$D6:$R6)*'Registro Notas'!$D6:$R6)/SUMPRODUCT(('Matriz Criterios'!$H$25:$V$25="X")*ISNUMBER('Registro Notas'!$D6:$R6)))</f>
        <v/>
      </c>
      <c r="W6" s="35">
        <f>IF(SUMPRODUCT(('Matriz Criterios'!$H$26:$V$26="X")*ISNUMBER('Registro Notas'!$D6:$R6))=0, "-", SUMPRODUCT(('Matriz Criterios'!$H$26:$V$26="X")*ISNUMBER('Registro Notas'!$D6:$R6)*'Registro Notas'!$D6:$R6)/SUMPRODUCT(('Matriz Criterios'!$H$26:$V$26="X")*ISNUMBER('Registro Notas'!$D6:$R6)))</f>
        <v/>
      </c>
      <c r="X6" s="35">
        <f>IF(SUMPRODUCT(('Matriz Criterios'!$H$27:$V$27="X")*ISNUMBER('Registro Notas'!$D6:$R6))=0, "-", SUMPRODUCT(('Matriz Criterios'!$H$27:$V$27="X")*ISNUMBER('Registro Notas'!$D6:$R6)*'Registro Notas'!$D6:$R6)/SUMPRODUCT(('Matriz Criterios'!$H$27:$V$27="X")*ISNUMBER('Registro Notas'!$D6:$R6)))</f>
        <v/>
      </c>
      <c r="Y6" s="35">
        <f>IF(SUMPRODUCT(('Matriz Criterios'!$H$28:$V$28="X")*ISNUMBER('Registro Notas'!$D6:$R6))=0, "-", SUMPRODUCT(('Matriz Criterios'!$H$28:$V$28="X")*ISNUMBER('Registro Notas'!$D6:$R6)*'Registro Notas'!$D6:$R6)/SUMPRODUCT(('Matriz Criterios'!$H$28:$V$28="X")*ISNUMBER('Registro Notas'!$D6:$R6)))</f>
        <v/>
      </c>
      <c r="Z6" s="35">
        <f>IF(SUMPRODUCT(('Matriz Criterios'!$H$29:$V$29="X")*ISNUMBER('Registro Notas'!$D6:$R6))=0, "-", SUMPRODUCT(('Matriz Criterios'!$H$29:$V$29="X")*ISNUMBER('Registro Notas'!$D6:$R6)*'Registro Notas'!$D6:$R6)/SUMPRODUCT(('Matriz Criterios'!$H$29:$V$29="X")*ISNUMBER('Registro Notas'!$D6:$R6)))</f>
        <v/>
      </c>
      <c r="AA6" s="35">
        <f>IF(SUMPRODUCT(('Matriz Criterios'!$H$30:$V$30="X")*ISNUMBER('Registro Notas'!$D6:$R6))=0, "-", SUMPRODUCT(('Matriz Criterios'!$H$30:$V$30="X")*ISNUMBER('Registro Notas'!$D6:$R6)*'Registro Notas'!$D6:$R6)/SUMPRODUCT(('Matriz Criterios'!$H$30:$V$30="X")*ISNUMBER('Registro Notas'!$D6:$R6)))</f>
        <v/>
      </c>
      <c r="AB6" s="35">
        <f>IF(SUMPRODUCT(('Matriz Criterios'!$H$31:$V$31="X")*ISNUMBER('Registro Notas'!$D6:$R6))=0, "-", SUMPRODUCT(('Matriz Criterios'!$H$31:$V$31="X")*ISNUMBER('Registro Notas'!$D6:$R6)*'Registro Notas'!$D6:$R6)/SUMPRODUCT(('Matriz Criterios'!$H$31:$V$31="X")*ISNUMBER('Registro Notas'!$D6:$R6)))</f>
        <v/>
      </c>
      <c r="AC6" s="35">
        <f>IF(SUMPRODUCT(('Matriz Criterios'!$H$32:$V$32="X")*ISNUMBER('Registro Notas'!$D6:$R6))=0, "-", SUMPRODUCT(('Matriz Criterios'!$H$32:$V$32="X")*ISNUMBER('Registro Notas'!$D6:$R6)*'Registro Notas'!$D6:$R6)/SUMPRODUCT(('Matriz Criterios'!$H$32:$V$32="X")*ISNUMBER('Registro Notas'!$D6:$R6)))</f>
        <v/>
      </c>
      <c r="AD6" s="35">
        <f>IF(SUMPRODUCT(('Matriz Criterios'!$H$33:$V$33="X")*ISNUMBER('Registro Notas'!$D6:$R6))=0, "-", SUMPRODUCT(('Matriz Criterios'!$H$33:$V$33="X")*ISNUMBER('Registro Notas'!$D6:$R6)*'Registro Notas'!$D6:$R6)/SUMPRODUCT(('Matriz Criterios'!$H$33:$V$33="X")*ISNUMBER('Registro Notas'!$D6:$R6)))</f>
        <v/>
      </c>
      <c r="AE6" s="35">
        <f>IF(SUMPRODUCT(('Matriz Criterios'!$H$34:$V$34="X")*ISNUMBER('Registro Notas'!$D6:$R6))=0, "-", SUMPRODUCT(('Matriz Criterios'!$H$34:$V$34="X")*ISNUMBER('Registro Notas'!$D6:$R6)*'Registro Notas'!$D6:$R6)/SUMPRODUCT(('Matriz Criterios'!$H$34:$V$34="X")*ISNUMBER('Registro Notas'!$D6:$R6)))</f>
        <v/>
      </c>
      <c r="AF6" s="35">
        <f>IF(SUMPRODUCT(('Matriz Criterios'!$H$35:$V$35="X")*ISNUMBER('Registro Notas'!$D6:$R6))=0, "-", SUMPRODUCT(('Matriz Criterios'!$H$35:$V$35="X")*ISNUMBER('Registro Notas'!$D6:$R6)*'Registro Notas'!$D6:$R6)/SUMPRODUCT(('Matriz Criterios'!$H$35:$V$35="X")*ISNUMBER('Registro Notas'!$D6:$R6)))</f>
        <v/>
      </c>
      <c r="AG6" s="35">
        <f>IF(SUMPRODUCT(('Matriz Criterios'!$H$36:$V$36="X")*ISNUMBER('Registro Notas'!$D6:$R6))=0, "-", SUMPRODUCT(('Matriz Criterios'!$H$36:$V$36="X")*ISNUMBER('Registro Notas'!$D6:$R6)*'Registro Notas'!$D6:$R6)/SUMPRODUCT(('Matriz Criterios'!$H$36:$V$36="X")*ISNUMBER('Registro Notas'!$D6:$R6)))</f>
        <v/>
      </c>
      <c r="AH6" s="35">
        <f>IF(SUMPRODUCT(('Matriz Criterios'!$H$37:$V$37="X")*ISNUMBER('Registro Notas'!$D6:$R6))=0, "-", SUMPRODUCT(('Matriz Criterios'!$H$37:$V$37="X")*ISNUMBER('Registro Notas'!$D6:$R6)*'Registro Notas'!$D6:$R6)/SUMPRODUCT(('Matriz Criterios'!$H$37:$V$37="X")*ISNUMBER('Registro Notas'!$D6:$R6)))</f>
        <v/>
      </c>
      <c r="AI6" s="35">
        <f>IF(SUMPRODUCT(('Matriz Criterios'!$H$38:$V$38="X")*ISNUMBER('Registro Notas'!$D6:$R6))=0, "-", SUMPRODUCT(('Matriz Criterios'!$H$38:$V$38="X")*ISNUMBER('Registro Notas'!$D6:$R6)*'Registro Notas'!$D6:$R6)/SUMPRODUCT(('Matriz Criterios'!$H$38:$V$38="X")*ISNUMBER('Registro Notas'!$D6:$R6)))</f>
        <v/>
      </c>
      <c r="AJ6" s="35">
        <f>IF(SUMPRODUCT(('Matriz Criterios'!$H$39:$V$39="X")*ISNUMBER('Registro Notas'!$D6:$R6))=0, "-", SUMPRODUCT(('Matriz Criterios'!$H$39:$V$39="X")*ISNUMBER('Registro Notas'!$D6:$R6)*'Registro Notas'!$D6:$R6)/SUMPRODUCT(('Matriz Criterios'!$H$39:$V$39="X")*ISNUMBER('Registro Notas'!$D6:$R6)))</f>
        <v/>
      </c>
      <c r="AK6" s="35">
        <f>IF(SUMPRODUCT(('Matriz Criterios'!$H$40:$V$40="X")*ISNUMBER('Registro Notas'!$D6:$R6))=0, "-", SUMPRODUCT(('Matriz Criterios'!$H$40:$V$40="X")*ISNUMBER('Registro Notas'!$D6:$R6)*'Registro Notas'!$D6:$R6)/SUMPRODUCT(('Matriz Criterios'!$H$40:$V$40="X")*ISNUMBER('Registro Notas'!$D6:$R6)))</f>
        <v/>
      </c>
      <c r="AL6" s="35">
        <f>IF(SUMPRODUCT(('Matriz Criterios'!$H$41:$V$41="X")*ISNUMBER('Registro Notas'!$D6:$R6))=0, "-", SUMPRODUCT(('Matriz Criterios'!$H$41:$V$41="X")*ISNUMBER('Registro Notas'!$D6:$R6)*'Registro Notas'!$D6:$R6)/SUMPRODUCT(('Matriz Criterios'!$H$41:$V$41="X")*ISNUMBER('Registro Notas'!$D6:$R6)))</f>
        <v/>
      </c>
      <c r="AM6" s="35">
        <f>IF(SUMPRODUCT(('Matriz Criterios'!$H$42:$V$42="X")*ISNUMBER('Registro Notas'!$D6:$R6))=0, "-", SUMPRODUCT(('Matriz Criterios'!$H$42:$V$42="X")*ISNUMBER('Registro Notas'!$D6:$R6)*'Registro Notas'!$D6:$R6)/SUMPRODUCT(('Matriz Criterios'!$H$42:$V$42="X")*ISNUMBER('Registro Notas'!$D6:$R6)))</f>
        <v/>
      </c>
      <c r="AN6" s="35">
        <f>IF(SUMPRODUCT(('Matriz Criterios'!$H$43:$V$43="X")*ISNUMBER('Registro Notas'!$D6:$R6))=0, "-", SUMPRODUCT(('Matriz Criterios'!$H$43:$V$43="X")*ISNUMBER('Registro Notas'!$D6:$R6)*'Registro Notas'!$D6:$R6)/SUMPRODUCT(('Matriz Criterios'!$H$43:$V$43="X")*ISNUMBER('Registro Notas'!$D6:$R6)))</f>
        <v/>
      </c>
      <c r="AO6" s="35">
        <f>IF(SUMPRODUCT(('Matriz Criterios'!$H$44:$V$44="X")*ISNUMBER('Registro Notas'!$D6:$R6))=0, "-", SUMPRODUCT(('Matriz Criterios'!$H$44:$V$44="X")*ISNUMBER('Registro Notas'!$D6:$R6)*'Registro Notas'!$D6:$R6)/SUMPRODUCT(('Matriz Criterios'!$H$44:$V$44="X")*ISNUMBER('Registro Notas'!$D6:$R6)))</f>
        <v/>
      </c>
      <c r="AP6" s="35">
        <f>IF(SUMPRODUCT(('Matriz Criterios'!$H$45:$V$45="X")*ISNUMBER('Registro Notas'!$D6:$R6))=0, "-", SUMPRODUCT(('Matriz Criterios'!$H$45:$V$45="X")*ISNUMBER('Registro Notas'!$D6:$R6)*'Registro Notas'!$D6:$R6)/SUMPRODUCT(('Matriz Criterios'!$H$45:$V$45="X")*ISNUMBER('Registro Notas'!$D6:$R6)))</f>
        <v/>
      </c>
      <c r="AQ6" s="35">
        <f>IF(SUMPRODUCT(('Matriz Criterios'!$H$46:$V$46="X")*ISNUMBER('Registro Notas'!$D6:$R6))=0, "-", SUMPRODUCT(('Matriz Criterios'!$H$46:$V$46="X")*ISNUMBER('Registro Notas'!$D6:$R6)*'Registro Notas'!$D6:$R6)/SUMPRODUCT(('Matriz Criterios'!$H$46:$V$46="X")*ISNUMBER('Registro Notas'!$D6:$R6)))</f>
        <v/>
      </c>
      <c r="AR6" s="35">
        <f>IF(SUMPRODUCT(('Matriz Criterios'!$H$47:$V$47="X")*ISNUMBER('Registro Notas'!$D6:$R6))=0, "-", SUMPRODUCT(('Matriz Criterios'!$H$47:$V$47="X")*ISNUMBER('Registro Notas'!$D6:$R6)*'Registro Notas'!$D6:$R6)/SUMPRODUCT(('Matriz Criterios'!$H$47:$V$47="X")*ISNUMBER('Registro Notas'!$D6:$R6)))</f>
        <v/>
      </c>
      <c r="AS6" s="35">
        <f>IF(SUMPRODUCT(('Matriz Criterios'!$H$48:$V$48="X")*ISNUMBER('Registro Notas'!$D6:$R6))=0, "-", SUMPRODUCT(('Matriz Criterios'!$H$48:$V$48="X")*ISNUMBER('Registro Notas'!$D6:$R6)*'Registro Notas'!$D6:$R6)/SUMPRODUCT(('Matriz Criterios'!$H$48:$V$48="X")*ISNUMBER('Registro Notas'!$D6:$R6)))</f>
        <v/>
      </c>
      <c r="AT6" s="35">
        <f>IF(SUMPRODUCT(('Matriz Criterios'!$H$49:$V$49="X")*ISNUMBER('Registro Notas'!$D6:$R6))=0, "-", SUMPRODUCT(('Matriz Criterios'!$H$49:$V$49="X")*ISNUMBER('Registro Notas'!$D6:$R6)*'Registro Notas'!$D6:$R6)/SUMPRODUCT(('Matriz Criterios'!$H$49:$V$49="X")*ISNUMBER('Registro Notas'!$D6:$R6)))</f>
        <v/>
      </c>
      <c r="AU6" s="35">
        <f>IF(SUMPRODUCT(('Matriz Criterios'!$H$50:$V$50="X")*ISNUMBER('Registro Notas'!$D6:$R6))=0, "-", SUMPRODUCT(('Matriz Criterios'!$H$50:$V$50="X")*ISNUMBER('Registro Notas'!$D6:$R6)*'Registro Notas'!$D6:$R6)/SUMPRODUCT(('Matriz Criterios'!$H$50:$V$50="X")*ISNUMBER('Registro Notas'!$D6:$R6)))</f>
        <v/>
      </c>
      <c r="AV6" s="50">
        <f>AVERAGE(C6:AU6)</f>
        <v/>
      </c>
      <c r="AW6" s="51">
        <f>COUNTIF(C6:AU6, "&gt;=5")</f>
        <v/>
      </c>
    </row>
    <row r="7" ht="20" customHeight="1">
      <c r="A7" s="21" t="n">
        <v>2</v>
      </c>
      <c r="B7" s="38" t="inlineStr">
        <is>
          <t>Benítez Romero, Carlos</t>
        </is>
      </c>
      <c r="C7" s="39">
        <f>IF(SUMPRODUCT(('Matriz Criterios'!$H$6:$V$6="X")*ISNUMBER('Registro Notas'!$D7:$R7))=0, "-", SUMPRODUCT(('Matriz Criterios'!$H$6:$V$6="X")*ISNUMBER('Registro Notas'!$D7:$R7)*'Registro Notas'!$D7:$R7)/SUMPRODUCT(('Matriz Criterios'!$H$6:$V$6="X")*ISNUMBER('Registro Notas'!$D7:$R7)))</f>
        <v/>
      </c>
      <c r="D7" s="39">
        <f>IF(SUMPRODUCT(('Matriz Criterios'!$H$7:$V$7="X")*ISNUMBER('Registro Notas'!$D7:$R7))=0, "-", SUMPRODUCT(('Matriz Criterios'!$H$7:$V$7="X")*ISNUMBER('Registro Notas'!$D7:$R7)*'Registro Notas'!$D7:$R7)/SUMPRODUCT(('Matriz Criterios'!$H$7:$V$7="X")*ISNUMBER('Registro Notas'!$D7:$R7)))</f>
        <v/>
      </c>
      <c r="E7" s="39">
        <f>IF(SUMPRODUCT(('Matriz Criterios'!$H$8:$V$8="X")*ISNUMBER('Registro Notas'!$D7:$R7))=0, "-", SUMPRODUCT(('Matriz Criterios'!$H$8:$V$8="X")*ISNUMBER('Registro Notas'!$D7:$R7)*'Registro Notas'!$D7:$R7)/SUMPRODUCT(('Matriz Criterios'!$H$8:$V$8="X")*ISNUMBER('Registro Notas'!$D7:$R7)))</f>
        <v/>
      </c>
      <c r="F7" s="39">
        <f>IF(SUMPRODUCT(('Matriz Criterios'!$H$9:$V$9="X")*ISNUMBER('Registro Notas'!$D7:$R7))=0, "-", SUMPRODUCT(('Matriz Criterios'!$H$9:$V$9="X")*ISNUMBER('Registro Notas'!$D7:$R7)*'Registro Notas'!$D7:$R7)/SUMPRODUCT(('Matriz Criterios'!$H$9:$V$9="X")*ISNUMBER('Registro Notas'!$D7:$R7)))</f>
        <v/>
      </c>
      <c r="G7" s="39">
        <f>IF(SUMPRODUCT(('Matriz Criterios'!$H$10:$V$10="X")*ISNUMBER('Registro Notas'!$D7:$R7))=0, "-", SUMPRODUCT(('Matriz Criterios'!$H$10:$V$10="X")*ISNUMBER('Registro Notas'!$D7:$R7)*'Registro Notas'!$D7:$R7)/SUMPRODUCT(('Matriz Criterios'!$H$10:$V$10="X")*ISNUMBER('Registro Notas'!$D7:$R7)))</f>
        <v/>
      </c>
      <c r="H7" s="39">
        <f>IF(SUMPRODUCT(('Matriz Criterios'!$H$11:$V$11="X")*ISNUMBER('Registro Notas'!$D7:$R7))=0, "-", SUMPRODUCT(('Matriz Criterios'!$H$11:$V$11="X")*ISNUMBER('Registro Notas'!$D7:$R7)*'Registro Notas'!$D7:$R7)/SUMPRODUCT(('Matriz Criterios'!$H$11:$V$11="X")*ISNUMBER('Registro Notas'!$D7:$R7)))</f>
        <v/>
      </c>
      <c r="I7" s="39">
        <f>IF(SUMPRODUCT(('Matriz Criterios'!$H$12:$V$12="X")*ISNUMBER('Registro Notas'!$D7:$R7))=0, "-", SUMPRODUCT(('Matriz Criterios'!$H$12:$V$12="X")*ISNUMBER('Registro Notas'!$D7:$R7)*'Registro Notas'!$D7:$R7)/SUMPRODUCT(('Matriz Criterios'!$H$12:$V$12="X")*ISNUMBER('Registro Notas'!$D7:$R7)))</f>
        <v/>
      </c>
      <c r="J7" s="39">
        <f>IF(SUMPRODUCT(('Matriz Criterios'!$H$13:$V$13="X")*ISNUMBER('Registro Notas'!$D7:$R7))=0, "-", SUMPRODUCT(('Matriz Criterios'!$H$13:$V$13="X")*ISNUMBER('Registro Notas'!$D7:$R7)*'Registro Notas'!$D7:$R7)/SUMPRODUCT(('Matriz Criterios'!$H$13:$V$13="X")*ISNUMBER('Registro Notas'!$D7:$R7)))</f>
        <v/>
      </c>
      <c r="K7" s="39">
        <f>IF(SUMPRODUCT(('Matriz Criterios'!$H$14:$V$14="X")*ISNUMBER('Registro Notas'!$D7:$R7))=0, "-", SUMPRODUCT(('Matriz Criterios'!$H$14:$V$14="X")*ISNUMBER('Registro Notas'!$D7:$R7)*'Registro Notas'!$D7:$R7)/SUMPRODUCT(('Matriz Criterios'!$H$14:$V$14="X")*ISNUMBER('Registro Notas'!$D7:$R7)))</f>
        <v/>
      </c>
      <c r="L7" s="39">
        <f>IF(SUMPRODUCT(('Matriz Criterios'!$H$15:$V$15="X")*ISNUMBER('Registro Notas'!$D7:$R7))=0, "-", SUMPRODUCT(('Matriz Criterios'!$H$15:$V$15="X")*ISNUMBER('Registro Notas'!$D7:$R7)*'Registro Notas'!$D7:$R7)/SUMPRODUCT(('Matriz Criterios'!$H$15:$V$15="X")*ISNUMBER('Registro Notas'!$D7:$R7)))</f>
        <v/>
      </c>
      <c r="M7" s="39">
        <f>IF(SUMPRODUCT(('Matriz Criterios'!$H$16:$V$16="X")*ISNUMBER('Registro Notas'!$D7:$R7))=0, "-", SUMPRODUCT(('Matriz Criterios'!$H$16:$V$16="X")*ISNUMBER('Registro Notas'!$D7:$R7)*'Registro Notas'!$D7:$R7)/SUMPRODUCT(('Matriz Criterios'!$H$16:$V$16="X")*ISNUMBER('Registro Notas'!$D7:$R7)))</f>
        <v/>
      </c>
      <c r="N7" s="39">
        <f>IF(SUMPRODUCT(('Matriz Criterios'!$H$17:$V$17="X")*ISNUMBER('Registro Notas'!$D7:$R7))=0, "-", SUMPRODUCT(('Matriz Criterios'!$H$17:$V$17="X")*ISNUMBER('Registro Notas'!$D7:$R7)*'Registro Notas'!$D7:$R7)/SUMPRODUCT(('Matriz Criterios'!$H$17:$V$17="X")*ISNUMBER('Registro Notas'!$D7:$R7)))</f>
        <v/>
      </c>
      <c r="O7" s="39">
        <f>IF(SUMPRODUCT(('Matriz Criterios'!$H$18:$V$18="X")*ISNUMBER('Registro Notas'!$D7:$R7))=0, "-", SUMPRODUCT(('Matriz Criterios'!$H$18:$V$18="X")*ISNUMBER('Registro Notas'!$D7:$R7)*'Registro Notas'!$D7:$R7)/SUMPRODUCT(('Matriz Criterios'!$H$18:$V$18="X")*ISNUMBER('Registro Notas'!$D7:$R7)))</f>
        <v/>
      </c>
      <c r="P7" s="39">
        <f>IF(SUMPRODUCT(('Matriz Criterios'!$H$19:$V$19="X")*ISNUMBER('Registro Notas'!$D7:$R7))=0, "-", SUMPRODUCT(('Matriz Criterios'!$H$19:$V$19="X")*ISNUMBER('Registro Notas'!$D7:$R7)*'Registro Notas'!$D7:$R7)/SUMPRODUCT(('Matriz Criterios'!$H$19:$V$19="X")*ISNUMBER('Registro Notas'!$D7:$R7)))</f>
        <v/>
      </c>
      <c r="Q7" s="39">
        <f>IF(SUMPRODUCT(('Matriz Criterios'!$H$20:$V$20="X")*ISNUMBER('Registro Notas'!$D7:$R7))=0, "-", SUMPRODUCT(('Matriz Criterios'!$H$20:$V$20="X")*ISNUMBER('Registro Notas'!$D7:$R7)*'Registro Notas'!$D7:$R7)/SUMPRODUCT(('Matriz Criterios'!$H$20:$V$20="X")*ISNUMBER('Registro Notas'!$D7:$R7)))</f>
        <v/>
      </c>
      <c r="R7" s="39">
        <f>IF(SUMPRODUCT(('Matriz Criterios'!$H$21:$V$21="X")*ISNUMBER('Registro Notas'!$D7:$R7))=0, "-", SUMPRODUCT(('Matriz Criterios'!$H$21:$V$21="X")*ISNUMBER('Registro Notas'!$D7:$R7)*'Registro Notas'!$D7:$R7)/SUMPRODUCT(('Matriz Criterios'!$H$21:$V$21="X")*ISNUMBER('Registro Notas'!$D7:$R7)))</f>
        <v/>
      </c>
      <c r="S7" s="39">
        <f>IF(SUMPRODUCT(('Matriz Criterios'!$H$22:$V$22="X")*ISNUMBER('Registro Notas'!$D7:$R7))=0, "-", SUMPRODUCT(('Matriz Criterios'!$H$22:$V$22="X")*ISNUMBER('Registro Notas'!$D7:$R7)*'Registro Notas'!$D7:$R7)/SUMPRODUCT(('Matriz Criterios'!$H$22:$V$22="X")*ISNUMBER('Registro Notas'!$D7:$R7)))</f>
        <v/>
      </c>
      <c r="T7" s="39">
        <f>IF(SUMPRODUCT(('Matriz Criterios'!$H$23:$V$23="X")*ISNUMBER('Registro Notas'!$D7:$R7))=0, "-", SUMPRODUCT(('Matriz Criterios'!$H$23:$V$23="X")*ISNUMBER('Registro Notas'!$D7:$R7)*'Registro Notas'!$D7:$R7)/SUMPRODUCT(('Matriz Criterios'!$H$23:$V$23="X")*ISNUMBER('Registro Notas'!$D7:$R7)))</f>
        <v/>
      </c>
      <c r="U7" s="39">
        <f>IF(SUMPRODUCT(('Matriz Criterios'!$H$24:$V$24="X")*ISNUMBER('Registro Notas'!$D7:$R7))=0, "-", SUMPRODUCT(('Matriz Criterios'!$H$24:$V$24="X")*ISNUMBER('Registro Notas'!$D7:$R7)*'Registro Notas'!$D7:$R7)/SUMPRODUCT(('Matriz Criterios'!$H$24:$V$24="X")*ISNUMBER('Registro Notas'!$D7:$R7)))</f>
        <v/>
      </c>
      <c r="V7" s="39">
        <f>IF(SUMPRODUCT(('Matriz Criterios'!$H$25:$V$25="X")*ISNUMBER('Registro Notas'!$D7:$R7))=0, "-", SUMPRODUCT(('Matriz Criterios'!$H$25:$V$25="X")*ISNUMBER('Registro Notas'!$D7:$R7)*'Registro Notas'!$D7:$R7)/SUMPRODUCT(('Matriz Criterios'!$H$25:$V$25="X")*ISNUMBER('Registro Notas'!$D7:$R7)))</f>
        <v/>
      </c>
      <c r="W7" s="39">
        <f>IF(SUMPRODUCT(('Matriz Criterios'!$H$26:$V$26="X")*ISNUMBER('Registro Notas'!$D7:$R7))=0, "-", SUMPRODUCT(('Matriz Criterios'!$H$26:$V$26="X")*ISNUMBER('Registro Notas'!$D7:$R7)*'Registro Notas'!$D7:$R7)/SUMPRODUCT(('Matriz Criterios'!$H$26:$V$26="X")*ISNUMBER('Registro Notas'!$D7:$R7)))</f>
        <v/>
      </c>
      <c r="X7" s="39">
        <f>IF(SUMPRODUCT(('Matriz Criterios'!$H$27:$V$27="X")*ISNUMBER('Registro Notas'!$D7:$R7))=0, "-", SUMPRODUCT(('Matriz Criterios'!$H$27:$V$27="X")*ISNUMBER('Registro Notas'!$D7:$R7)*'Registro Notas'!$D7:$R7)/SUMPRODUCT(('Matriz Criterios'!$H$27:$V$27="X")*ISNUMBER('Registro Notas'!$D7:$R7)))</f>
        <v/>
      </c>
      <c r="Y7" s="39">
        <f>IF(SUMPRODUCT(('Matriz Criterios'!$H$28:$V$28="X")*ISNUMBER('Registro Notas'!$D7:$R7))=0, "-", SUMPRODUCT(('Matriz Criterios'!$H$28:$V$28="X")*ISNUMBER('Registro Notas'!$D7:$R7)*'Registro Notas'!$D7:$R7)/SUMPRODUCT(('Matriz Criterios'!$H$28:$V$28="X")*ISNUMBER('Registro Notas'!$D7:$R7)))</f>
        <v/>
      </c>
      <c r="Z7" s="39">
        <f>IF(SUMPRODUCT(('Matriz Criterios'!$H$29:$V$29="X")*ISNUMBER('Registro Notas'!$D7:$R7))=0, "-", SUMPRODUCT(('Matriz Criterios'!$H$29:$V$29="X")*ISNUMBER('Registro Notas'!$D7:$R7)*'Registro Notas'!$D7:$R7)/SUMPRODUCT(('Matriz Criterios'!$H$29:$V$29="X")*ISNUMBER('Registro Notas'!$D7:$R7)))</f>
        <v/>
      </c>
      <c r="AA7" s="39">
        <f>IF(SUMPRODUCT(('Matriz Criterios'!$H$30:$V$30="X")*ISNUMBER('Registro Notas'!$D7:$R7))=0, "-", SUMPRODUCT(('Matriz Criterios'!$H$30:$V$30="X")*ISNUMBER('Registro Notas'!$D7:$R7)*'Registro Notas'!$D7:$R7)/SUMPRODUCT(('Matriz Criterios'!$H$30:$V$30="X")*ISNUMBER('Registro Notas'!$D7:$R7)))</f>
        <v/>
      </c>
      <c r="AB7" s="39">
        <f>IF(SUMPRODUCT(('Matriz Criterios'!$H$31:$V$31="X")*ISNUMBER('Registro Notas'!$D7:$R7))=0, "-", SUMPRODUCT(('Matriz Criterios'!$H$31:$V$31="X")*ISNUMBER('Registro Notas'!$D7:$R7)*'Registro Notas'!$D7:$R7)/SUMPRODUCT(('Matriz Criterios'!$H$31:$V$31="X")*ISNUMBER('Registro Notas'!$D7:$R7)))</f>
        <v/>
      </c>
      <c r="AC7" s="39">
        <f>IF(SUMPRODUCT(('Matriz Criterios'!$H$32:$V$32="X")*ISNUMBER('Registro Notas'!$D7:$R7))=0, "-", SUMPRODUCT(('Matriz Criterios'!$H$32:$V$32="X")*ISNUMBER('Registro Notas'!$D7:$R7)*'Registro Notas'!$D7:$R7)/SUMPRODUCT(('Matriz Criterios'!$H$32:$V$32="X")*ISNUMBER('Registro Notas'!$D7:$R7)))</f>
        <v/>
      </c>
      <c r="AD7" s="39">
        <f>IF(SUMPRODUCT(('Matriz Criterios'!$H$33:$V$33="X")*ISNUMBER('Registro Notas'!$D7:$R7))=0, "-", SUMPRODUCT(('Matriz Criterios'!$H$33:$V$33="X")*ISNUMBER('Registro Notas'!$D7:$R7)*'Registro Notas'!$D7:$R7)/SUMPRODUCT(('Matriz Criterios'!$H$33:$V$33="X")*ISNUMBER('Registro Notas'!$D7:$R7)))</f>
        <v/>
      </c>
      <c r="AE7" s="39">
        <f>IF(SUMPRODUCT(('Matriz Criterios'!$H$34:$V$34="X")*ISNUMBER('Registro Notas'!$D7:$R7))=0, "-", SUMPRODUCT(('Matriz Criterios'!$H$34:$V$34="X")*ISNUMBER('Registro Notas'!$D7:$R7)*'Registro Notas'!$D7:$R7)/SUMPRODUCT(('Matriz Criterios'!$H$34:$V$34="X")*ISNUMBER('Registro Notas'!$D7:$R7)))</f>
        <v/>
      </c>
      <c r="AF7" s="39">
        <f>IF(SUMPRODUCT(('Matriz Criterios'!$H$35:$V$35="X")*ISNUMBER('Registro Notas'!$D7:$R7))=0, "-", SUMPRODUCT(('Matriz Criterios'!$H$35:$V$35="X")*ISNUMBER('Registro Notas'!$D7:$R7)*'Registro Notas'!$D7:$R7)/SUMPRODUCT(('Matriz Criterios'!$H$35:$V$35="X")*ISNUMBER('Registro Notas'!$D7:$R7)))</f>
        <v/>
      </c>
      <c r="AG7" s="39">
        <f>IF(SUMPRODUCT(('Matriz Criterios'!$H$36:$V$36="X")*ISNUMBER('Registro Notas'!$D7:$R7))=0, "-", SUMPRODUCT(('Matriz Criterios'!$H$36:$V$36="X")*ISNUMBER('Registro Notas'!$D7:$R7)*'Registro Notas'!$D7:$R7)/SUMPRODUCT(('Matriz Criterios'!$H$36:$V$36="X")*ISNUMBER('Registro Notas'!$D7:$R7)))</f>
        <v/>
      </c>
      <c r="AH7" s="39">
        <f>IF(SUMPRODUCT(('Matriz Criterios'!$H$37:$V$37="X")*ISNUMBER('Registro Notas'!$D7:$R7))=0, "-", SUMPRODUCT(('Matriz Criterios'!$H$37:$V$37="X")*ISNUMBER('Registro Notas'!$D7:$R7)*'Registro Notas'!$D7:$R7)/SUMPRODUCT(('Matriz Criterios'!$H$37:$V$37="X")*ISNUMBER('Registro Notas'!$D7:$R7)))</f>
        <v/>
      </c>
      <c r="AI7" s="39">
        <f>IF(SUMPRODUCT(('Matriz Criterios'!$H$38:$V$38="X")*ISNUMBER('Registro Notas'!$D7:$R7))=0, "-", SUMPRODUCT(('Matriz Criterios'!$H$38:$V$38="X")*ISNUMBER('Registro Notas'!$D7:$R7)*'Registro Notas'!$D7:$R7)/SUMPRODUCT(('Matriz Criterios'!$H$38:$V$38="X")*ISNUMBER('Registro Notas'!$D7:$R7)))</f>
        <v/>
      </c>
      <c r="AJ7" s="39">
        <f>IF(SUMPRODUCT(('Matriz Criterios'!$H$39:$V$39="X")*ISNUMBER('Registro Notas'!$D7:$R7))=0, "-", SUMPRODUCT(('Matriz Criterios'!$H$39:$V$39="X")*ISNUMBER('Registro Notas'!$D7:$R7)*'Registro Notas'!$D7:$R7)/SUMPRODUCT(('Matriz Criterios'!$H$39:$V$39="X")*ISNUMBER('Registro Notas'!$D7:$R7)))</f>
        <v/>
      </c>
      <c r="AK7" s="39">
        <f>IF(SUMPRODUCT(('Matriz Criterios'!$H$40:$V$40="X")*ISNUMBER('Registro Notas'!$D7:$R7))=0, "-", SUMPRODUCT(('Matriz Criterios'!$H$40:$V$40="X")*ISNUMBER('Registro Notas'!$D7:$R7)*'Registro Notas'!$D7:$R7)/SUMPRODUCT(('Matriz Criterios'!$H$40:$V$40="X")*ISNUMBER('Registro Notas'!$D7:$R7)))</f>
        <v/>
      </c>
      <c r="AL7" s="39">
        <f>IF(SUMPRODUCT(('Matriz Criterios'!$H$41:$V$41="X")*ISNUMBER('Registro Notas'!$D7:$R7))=0, "-", SUMPRODUCT(('Matriz Criterios'!$H$41:$V$41="X")*ISNUMBER('Registro Notas'!$D7:$R7)*'Registro Notas'!$D7:$R7)/SUMPRODUCT(('Matriz Criterios'!$H$41:$V$41="X")*ISNUMBER('Registro Notas'!$D7:$R7)))</f>
        <v/>
      </c>
      <c r="AM7" s="39">
        <f>IF(SUMPRODUCT(('Matriz Criterios'!$H$42:$V$42="X")*ISNUMBER('Registro Notas'!$D7:$R7))=0, "-", SUMPRODUCT(('Matriz Criterios'!$H$42:$V$42="X")*ISNUMBER('Registro Notas'!$D7:$R7)*'Registro Notas'!$D7:$R7)/SUMPRODUCT(('Matriz Criterios'!$H$42:$V$42="X")*ISNUMBER('Registro Notas'!$D7:$R7)))</f>
        <v/>
      </c>
      <c r="AN7" s="39">
        <f>IF(SUMPRODUCT(('Matriz Criterios'!$H$43:$V$43="X")*ISNUMBER('Registro Notas'!$D7:$R7))=0, "-", SUMPRODUCT(('Matriz Criterios'!$H$43:$V$43="X")*ISNUMBER('Registro Notas'!$D7:$R7)*'Registro Notas'!$D7:$R7)/SUMPRODUCT(('Matriz Criterios'!$H$43:$V$43="X")*ISNUMBER('Registro Notas'!$D7:$R7)))</f>
        <v/>
      </c>
      <c r="AO7" s="39">
        <f>IF(SUMPRODUCT(('Matriz Criterios'!$H$44:$V$44="X")*ISNUMBER('Registro Notas'!$D7:$R7))=0, "-", SUMPRODUCT(('Matriz Criterios'!$H$44:$V$44="X")*ISNUMBER('Registro Notas'!$D7:$R7)*'Registro Notas'!$D7:$R7)/SUMPRODUCT(('Matriz Criterios'!$H$44:$V$44="X")*ISNUMBER('Registro Notas'!$D7:$R7)))</f>
        <v/>
      </c>
      <c r="AP7" s="39">
        <f>IF(SUMPRODUCT(('Matriz Criterios'!$H$45:$V$45="X")*ISNUMBER('Registro Notas'!$D7:$R7))=0, "-", SUMPRODUCT(('Matriz Criterios'!$H$45:$V$45="X")*ISNUMBER('Registro Notas'!$D7:$R7)*'Registro Notas'!$D7:$R7)/SUMPRODUCT(('Matriz Criterios'!$H$45:$V$45="X")*ISNUMBER('Registro Notas'!$D7:$R7)))</f>
        <v/>
      </c>
      <c r="AQ7" s="39">
        <f>IF(SUMPRODUCT(('Matriz Criterios'!$H$46:$V$46="X")*ISNUMBER('Registro Notas'!$D7:$R7))=0, "-", SUMPRODUCT(('Matriz Criterios'!$H$46:$V$46="X")*ISNUMBER('Registro Notas'!$D7:$R7)*'Registro Notas'!$D7:$R7)/SUMPRODUCT(('Matriz Criterios'!$H$46:$V$46="X")*ISNUMBER('Registro Notas'!$D7:$R7)))</f>
        <v/>
      </c>
      <c r="AR7" s="39">
        <f>IF(SUMPRODUCT(('Matriz Criterios'!$H$47:$V$47="X")*ISNUMBER('Registro Notas'!$D7:$R7))=0, "-", SUMPRODUCT(('Matriz Criterios'!$H$47:$V$47="X")*ISNUMBER('Registro Notas'!$D7:$R7)*'Registro Notas'!$D7:$R7)/SUMPRODUCT(('Matriz Criterios'!$H$47:$V$47="X")*ISNUMBER('Registro Notas'!$D7:$R7)))</f>
        <v/>
      </c>
      <c r="AS7" s="39">
        <f>IF(SUMPRODUCT(('Matriz Criterios'!$H$48:$V$48="X")*ISNUMBER('Registro Notas'!$D7:$R7))=0, "-", SUMPRODUCT(('Matriz Criterios'!$H$48:$V$48="X")*ISNUMBER('Registro Notas'!$D7:$R7)*'Registro Notas'!$D7:$R7)/SUMPRODUCT(('Matriz Criterios'!$H$48:$V$48="X")*ISNUMBER('Registro Notas'!$D7:$R7)))</f>
        <v/>
      </c>
      <c r="AT7" s="39">
        <f>IF(SUMPRODUCT(('Matriz Criterios'!$H$49:$V$49="X")*ISNUMBER('Registro Notas'!$D7:$R7))=0, "-", SUMPRODUCT(('Matriz Criterios'!$H$49:$V$49="X")*ISNUMBER('Registro Notas'!$D7:$R7)*'Registro Notas'!$D7:$R7)/SUMPRODUCT(('Matriz Criterios'!$H$49:$V$49="X")*ISNUMBER('Registro Notas'!$D7:$R7)))</f>
        <v/>
      </c>
      <c r="AU7" s="39">
        <f>IF(SUMPRODUCT(('Matriz Criterios'!$H$50:$V$50="X")*ISNUMBER('Registro Notas'!$D7:$R7))=0, "-", SUMPRODUCT(('Matriz Criterios'!$H$50:$V$50="X")*ISNUMBER('Registro Notas'!$D7:$R7)*'Registro Notas'!$D7:$R7)/SUMPRODUCT(('Matriz Criterios'!$H$50:$V$50="X")*ISNUMBER('Registro Notas'!$D7:$R7)))</f>
        <v/>
      </c>
      <c r="AV7" s="50">
        <f>AVERAGE(C7:AU7)</f>
        <v/>
      </c>
      <c r="AW7" s="51">
        <f>COUNTIF(C7:AU7, "&gt;=5")</f>
        <v/>
      </c>
    </row>
    <row r="8" ht="20" customHeight="1">
      <c r="A8" s="13" t="n">
        <v>3</v>
      </c>
      <c r="B8" s="34" t="inlineStr">
        <is>
          <t>Castillo Morales, Elena</t>
        </is>
      </c>
      <c r="C8" s="35">
        <f>IF(SUMPRODUCT(('Matriz Criterios'!$H$6:$V$6="X")*ISNUMBER('Registro Notas'!$D8:$R8))=0, "-", SUMPRODUCT(('Matriz Criterios'!$H$6:$V$6="X")*ISNUMBER('Registro Notas'!$D8:$R8)*'Registro Notas'!$D8:$R8)/SUMPRODUCT(('Matriz Criterios'!$H$6:$V$6="X")*ISNUMBER('Registro Notas'!$D8:$R8)))</f>
        <v/>
      </c>
      <c r="D8" s="35">
        <f>IF(SUMPRODUCT(('Matriz Criterios'!$H$7:$V$7="X")*ISNUMBER('Registro Notas'!$D8:$R8))=0, "-", SUMPRODUCT(('Matriz Criterios'!$H$7:$V$7="X")*ISNUMBER('Registro Notas'!$D8:$R8)*'Registro Notas'!$D8:$R8)/SUMPRODUCT(('Matriz Criterios'!$H$7:$V$7="X")*ISNUMBER('Registro Notas'!$D8:$R8)))</f>
        <v/>
      </c>
      <c r="E8" s="35">
        <f>IF(SUMPRODUCT(('Matriz Criterios'!$H$8:$V$8="X")*ISNUMBER('Registro Notas'!$D8:$R8))=0, "-", SUMPRODUCT(('Matriz Criterios'!$H$8:$V$8="X")*ISNUMBER('Registro Notas'!$D8:$R8)*'Registro Notas'!$D8:$R8)/SUMPRODUCT(('Matriz Criterios'!$H$8:$V$8="X")*ISNUMBER('Registro Notas'!$D8:$R8)))</f>
        <v/>
      </c>
      <c r="F8" s="35">
        <f>IF(SUMPRODUCT(('Matriz Criterios'!$H$9:$V$9="X")*ISNUMBER('Registro Notas'!$D8:$R8))=0, "-", SUMPRODUCT(('Matriz Criterios'!$H$9:$V$9="X")*ISNUMBER('Registro Notas'!$D8:$R8)*'Registro Notas'!$D8:$R8)/SUMPRODUCT(('Matriz Criterios'!$H$9:$V$9="X")*ISNUMBER('Registro Notas'!$D8:$R8)))</f>
        <v/>
      </c>
      <c r="G8" s="35">
        <f>IF(SUMPRODUCT(('Matriz Criterios'!$H$10:$V$10="X")*ISNUMBER('Registro Notas'!$D8:$R8))=0, "-", SUMPRODUCT(('Matriz Criterios'!$H$10:$V$10="X")*ISNUMBER('Registro Notas'!$D8:$R8)*'Registro Notas'!$D8:$R8)/SUMPRODUCT(('Matriz Criterios'!$H$10:$V$10="X")*ISNUMBER('Registro Notas'!$D8:$R8)))</f>
        <v/>
      </c>
      <c r="H8" s="35">
        <f>IF(SUMPRODUCT(('Matriz Criterios'!$H$11:$V$11="X")*ISNUMBER('Registro Notas'!$D8:$R8))=0, "-", SUMPRODUCT(('Matriz Criterios'!$H$11:$V$11="X")*ISNUMBER('Registro Notas'!$D8:$R8)*'Registro Notas'!$D8:$R8)/SUMPRODUCT(('Matriz Criterios'!$H$11:$V$11="X")*ISNUMBER('Registro Notas'!$D8:$R8)))</f>
        <v/>
      </c>
      <c r="I8" s="35">
        <f>IF(SUMPRODUCT(('Matriz Criterios'!$H$12:$V$12="X")*ISNUMBER('Registro Notas'!$D8:$R8))=0, "-", SUMPRODUCT(('Matriz Criterios'!$H$12:$V$12="X")*ISNUMBER('Registro Notas'!$D8:$R8)*'Registro Notas'!$D8:$R8)/SUMPRODUCT(('Matriz Criterios'!$H$12:$V$12="X")*ISNUMBER('Registro Notas'!$D8:$R8)))</f>
        <v/>
      </c>
      <c r="J8" s="35">
        <f>IF(SUMPRODUCT(('Matriz Criterios'!$H$13:$V$13="X")*ISNUMBER('Registro Notas'!$D8:$R8))=0, "-", SUMPRODUCT(('Matriz Criterios'!$H$13:$V$13="X")*ISNUMBER('Registro Notas'!$D8:$R8)*'Registro Notas'!$D8:$R8)/SUMPRODUCT(('Matriz Criterios'!$H$13:$V$13="X")*ISNUMBER('Registro Notas'!$D8:$R8)))</f>
        <v/>
      </c>
      <c r="K8" s="35">
        <f>IF(SUMPRODUCT(('Matriz Criterios'!$H$14:$V$14="X")*ISNUMBER('Registro Notas'!$D8:$R8))=0, "-", SUMPRODUCT(('Matriz Criterios'!$H$14:$V$14="X")*ISNUMBER('Registro Notas'!$D8:$R8)*'Registro Notas'!$D8:$R8)/SUMPRODUCT(('Matriz Criterios'!$H$14:$V$14="X")*ISNUMBER('Registro Notas'!$D8:$R8)))</f>
        <v/>
      </c>
      <c r="L8" s="35">
        <f>IF(SUMPRODUCT(('Matriz Criterios'!$H$15:$V$15="X")*ISNUMBER('Registro Notas'!$D8:$R8))=0, "-", SUMPRODUCT(('Matriz Criterios'!$H$15:$V$15="X")*ISNUMBER('Registro Notas'!$D8:$R8)*'Registro Notas'!$D8:$R8)/SUMPRODUCT(('Matriz Criterios'!$H$15:$V$15="X")*ISNUMBER('Registro Notas'!$D8:$R8)))</f>
        <v/>
      </c>
      <c r="M8" s="35">
        <f>IF(SUMPRODUCT(('Matriz Criterios'!$H$16:$V$16="X")*ISNUMBER('Registro Notas'!$D8:$R8))=0, "-", SUMPRODUCT(('Matriz Criterios'!$H$16:$V$16="X")*ISNUMBER('Registro Notas'!$D8:$R8)*'Registro Notas'!$D8:$R8)/SUMPRODUCT(('Matriz Criterios'!$H$16:$V$16="X")*ISNUMBER('Registro Notas'!$D8:$R8)))</f>
        <v/>
      </c>
      <c r="N8" s="35">
        <f>IF(SUMPRODUCT(('Matriz Criterios'!$H$17:$V$17="X")*ISNUMBER('Registro Notas'!$D8:$R8))=0, "-", SUMPRODUCT(('Matriz Criterios'!$H$17:$V$17="X")*ISNUMBER('Registro Notas'!$D8:$R8)*'Registro Notas'!$D8:$R8)/SUMPRODUCT(('Matriz Criterios'!$H$17:$V$17="X")*ISNUMBER('Registro Notas'!$D8:$R8)))</f>
        <v/>
      </c>
      <c r="O8" s="35">
        <f>IF(SUMPRODUCT(('Matriz Criterios'!$H$18:$V$18="X")*ISNUMBER('Registro Notas'!$D8:$R8))=0, "-", SUMPRODUCT(('Matriz Criterios'!$H$18:$V$18="X")*ISNUMBER('Registro Notas'!$D8:$R8)*'Registro Notas'!$D8:$R8)/SUMPRODUCT(('Matriz Criterios'!$H$18:$V$18="X")*ISNUMBER('Registro Notas'!$D8:$R8)))</f>
        <v/>
      </c>
      <c r="P8" s="35">
        <f>IF(SUMPRODUCT(('Matriz Criterios'!$H$19:$V$19="X")*ISNUMBER('Registro Notas'!$D8:$R8))=0, "-", SUMPRODUCT(('Matriz Criterios'!$H$19:$V$19="X")*ISNUMBER('Registro Notas'!$D8:$R8)*'Registro Notas'!$D8:$R8)/SUMPRODUCT(('Matriz Criterios'!$H$19:$V$19="X")*ISNUMBER('Registro Notas'!$D8:$R8)))</f>
        <v/>
      </c>
      <c r="Q8" s="35">
        <f>IF(SUMPRODUCT(('Matriz Criterios'!$H$20:$V$20="X")*ISNUMBER('Registro Notas'!$D8:$R8))=0, "-", SUMPRODUCT(('Matriz Criterios'!$H$20:$V$20="X")*ISNUMBER('Registro Notas'!$D8:$R8)*'Registro Notas'!$D8:$R8)/SUMPRODUCT(('Matriz Criterios'!$H$20:$V$20="X")*ISNUMBER('Registro Notas'!$D8:$R8)))</f>
        <v/>
      </c>
      <c r="R8" s="35">
        <f>IF(SUMPRODUCT(('Matriz Criterios'!$H$21:$V$21="X")*ISNUMBER('Registro Notas'!$D8:$R8))=0, "-", SUMPRODUCT(('Matriz Criterios'!$H$21:$V$21="X")*ISNUMBER('Registro Notas'!$D8:$R8)*'Registro Notas'!$D8:$R8)/SUMPRODUCT(('Matriz Criterios'!$H$21:$V$21="X")*ISNUMBER('Registro Notas'!$D8:$R8)))</f>
        <v/>
      </c>
      <c r="S8" s="35">
        <f>IF(SUMPRODUCT(('Matriz Criterios'!$H$22:$V$22="X")*ISNUMBER('Registro Notas'!$D8:$R8))=0, "-", SUMPRODUCT(('Matriz Criterios'!$H$22:$V$22="X")*ISNUMBER('Registro Notas'!$D8:$R8)*'Registro Notas'!$D8:$R8)/SUMPRODUCT(('Matriz Criterios'!$H$22:$V$22="X")*ISNUMBER('Registro Notas'!$D8:$R8)))</f>
        <v/>
      </c>
      <c r="T8" s="35">
        <f>IF(SUMPRODUCT(('Matriz Criterios'!$H$23:$V$23="X")*ISNUMBER('Registro Notas'!$D8:$R8))=0, "-", SUMPRODUCT(('Matriz Criterios'!$H$23:$V$23="X")*ISNUMBER('Registro Notas'!$D8:$R8)*'Registro Notas'!$D8:$R8)/SUMPRODUCT(('Matriz Criterios'!$H$23:$V$23="X")*ISNUMBER('Registro Notas'!$D8:$R8)))</f>
        <v/>
      </c>
      <c r="U8" s="35">
        <f>IF(SUMPRODUCT(('Matriz Criterios'!$H$24:$V$24="X")*ISNUMBER('Registro Notas'!$D8:$R8))=0, "-", SUMPRODUCT(('Matriz Criterios'!$H$24:$V$24="X")*ISNUMBER('Registro Notas'!$D8:$R8)*'Registro Notas'!$D8:$R8)/SUMPRODUCT(('Matriz Criterios'!$H$24:$V$24="X")*ISNUMBER('Registro Notas'!$D8:$R8)))</f>
        <v/>
      </c>
      <c r="V8" s="35">
        <f>IF(SUMPRODUCT(('Matriz Criterios'!$H$25:$V$25="X")*ISNUMBER('Registro Notas'!$D8:$R8))=0, "-", SUMPRODUCT(('Matriz Criterios'!$H$25:$V$25="X")*ISNUMBER('Registro Notas'!$D8:$R8)*'Registro Notas'!$D8:$R8)/SUMPRODUCT(('Matriz Criterios'!$H$25:$V$25="X")*ISNUMBER('Registro Notas'!$D8:$R8)))</f>
        <v/>
      </c>
      <c r="W8" s="35">
        <f>IF(SUMPRODUCT(('Matriz Criterios'!$H$26:$V$26="X")*ISNUMBER('Registro Notas'!$D8:$R8))=0, "-", SUMPRODUCT(('Matriz Criterios'!$H$26:$V$26="X")*ISNUMBER('Registro Notas'!$D8:$R8)*'Registro Notas'!$D8:$R8)/SUMPRODUCT(('Matriz Criterios'!$H$26:$V$26="X")*ISNUMBER('Registro Notas'!$D8:$R8)))</f>
        <v/>
      </c>
      <c r="X8" s="35">
        <f>IF(SUMPRODUCT(('Matriz Criterios'!$H$27:$V$27="X")*ISNUMBER('Registro Notas'!$D8:$R8))=0, "-", SUMPRODUCT(('Matriz Criterios'!$H$27:$V$27="X")*ISNUMBER('Registro Notas'!$D8:$R8)*'Registro Notas'!$D8:$R8)/SUMPRODUCT(('Matriz Criterios'!$H$27:$V$27="X")*ISNUMBER('Registro Notas'!$D8:$R8)))</f>
        <v/>
      </c>
      <c r="Y8" s="35">
        <f>IF(SUMPRODUCT(('Matriz Criterios'!$H$28:$V$28="X")*ISNUMBER('Registro Notas'!$D8:$R8))=0, "-", SUMPRODUCT(('Matriz Criterios'!$H$28:$V$28="X")*ISNUMBER('Registro Notas'!$D8:$R8)*'Registro Notas'!$D8:$R8)/SUMPRODUCT(('Matriz Criterios'!$H$28:$V$28="X")*ISNUMBER('Registro Notas'!$D8:$R8)))</f>
        <v/>
      </c>
      <c r="Z8" s="35">
        <f>IF(SUMPRODUCT(('Matriz Criterios'!$H$29:$V$29="X")*ISNUMBER('Registro Notas'!$D8:$R8))=0, "-", SUMPRODUCT(('Matriz Criterios'!$H$29:$V$29="X")*ISNUMBER('Registro Notas'!$D8:$R8)*'Registro Notas'!$D8:$R8)/SUMPRODUCT(('Matriz Criterios'!$H$29:$V$29="X")*ISNUMBER('Registro Notas'!$D8:$R8)))</f>
        <v/>
      </c>
      <c r="AA8" s="35">
        <f>IF(SUMPRODUCT(('Matriz Criterios'!$H$30:$V$30="X")*ISNUMBER('Registro Notas'!$D8:$R8))=0, "-", SUMPRODUCT(('Matriz Criterios'!$H$30:$V$30="X")*ISNUMBER('Registro Notas'!$D8:$R8)*'Registro Notas'!$D8:$R8)/SUMPRODUCT(('Matriz Criterios'!$H$30:$V$30="X")*ISNUMBER('Registro Notas'!$D8:$R8)))</f>
        <v/>
      </c>
      <c r="AB8" s="35">
        <f>IF(SUMPRODUCT(('Matriz Criterios'!$H$31:$V$31="X")*ISNUMBER('Registro Notas'!$D8:$R8))=0, "-", SUMPRODUCT(('Matriz Criterios'!$H$31:$V$31="X")*ISNUMBER('Registro Notas'!$D8:$R8)*'Registro Notas'!$D8:$R8)/SUMPRODUCT(('Matriz Criterios'!$H$31:$V$31="X")*ISNUMBER('Registro Notas'!$D8:$R8)))</f>
        <v/>
      </c>
      <c r="AC8" s="35">
        <f>IF(SUMPRODUCT(('Matriz Criterios'!$H$32:$V$32="X")*ISNUMBER('Registro Notas'!$D8:$R8))=0, "-", SUMPRODUCT(('Matriz Criterios'!$H$32:$V$32="X")*ISNUMBER('Registro Notas'!$D8:$R8)*'Registro Notas'!$D8:$R8)/SUMPRODUCT(('Matriz Criterios'!$H$32:$V$32="X")*ISNUMBER('Registro Notas'!$D8:$R8)))</f>
        <v/>
      </c>
      <c r="AD8" s="35">
        <f>IF(SUMPRODUCT(('Matriz Criterios'!$H$33:$V$33="X")*ISNUMBER('Registro Notas'!$D8:$R8))=0, "-", SUMPRODUCT(('Matriz Criterios'!$H$33:$V$33="X")*ISNUMBER('Registro Notas'!$D8:$R8)*'Registro Notas'!$D8:$R8)/SUMPRODUCT(('Matriz Criterios'!$H$33:$V$33="X")*ISNUMBER('Registro Notas'!$D8:$R8)))</f>
        <v/>
      </c>
      <c r="AE8" s="35">
        <f>IF(SUMPRODUCT(('Matriz Criterios'!$H$34:$V$34="X")*ISNUMBER('Registro Notas'!$D8:$R8))=0, "-", SUMPRODUCT(('Matriz Criterios'!$H$34:$V$34="X")*ISNUMBER('Registro Notas'!$D8:$R8)*'Registro Notas'!$D8:$R8)/SUMPRODUCT(('Matriz Criterios'!$H$34:$V$34="X")*ISNUMBER('Registro Notas'!$D8:$R8)))</f>
        <v/>
      </c>
      <c r="AF8" s="35">
        <f>IF(SUMPRODUCT(('Matriz Criterios'!$H$35:$V$35="X")*ISNUMBER('Registro Notas'!$D8:$R8))=0, "-", SUMPRODUCT(('Matriz Criterios'!$H$35:$V$35="X")*ISNUMBER('Registro Notas'!$D8:$R8)*'Registro Notas'!$D8:$R8)/SUMPRODUCT(('Matriz Criterios'!$H$35:$V$35="X")*ISNUMBER('Registro Notas'!$D8:$R8)))</f>
        <v/>
      </c>
      <c r="AG8" s="35">
        <f>IF(SUMPRODUCT(('Matriz Criterios'!$H$36:$V$36="X")*ISNUMBER('Registro Notas'!$D8:$R8))=0, "-", SUMPRODUCT(('Matriz Criterios'!$H$36:$V$36="X")*ISNUMBER('Registro Notas'!$D8:$R8)*'Registro Notas'!$D8:$R8)/SUMPRODUCT(('Matriz Criterios'!$H$36:$V$36="X")*ISNUMBER('Registro Notas'!$D8:$R8)))</f>
        <v/>
      </c>
      <c r="AH8" s="35">
        <f>IF(SUMPRODUCT(('Matriz Criterios'!$H$37:$V$37="X")*ISNUMBER('Registro Notas'!$D8:$R8))=0, "-", SUMPRODUCT(('Matriz Criterios'!$H$37:$V$37="X")*ISNUMBER('Registro Notas'!$D8:$R8)*'Registro Notas'!$D8:$R8)/SUMPRODUCT(('Matriz Criterios'!$H$37:$V$37="X")*ISNUMBER('Registro Notas'!$D8:$R8)))</f>
        <v/>
      </c>
      <c r="AI8" s="35">
        <f>IF(SUMPRODUCT(('Matriz Criterios'!$H$38:$V$38="X")*ISNUMBER('Registro Notas'!$D8:$R8))=0, "-", SUMPRODUCT(('Matriz Criterios'!$H$38:$V$38="X")*ISNUMBER('Registro Notas'!$D8:$R8)*'Registro Notas'!$D8:$R8)/SUMPRODUCT(('Matriz Criterios'!$H$38:$V$38="X")*ISNUMBER('Registro Notas'!$D8:$R8)))</f>
        <v/>
      </c>
      <c r="AJ8" s="35">
        <f>IF(SUMPRODUCT(('Matriz Criterios'!$H$39:$V$39="X")*ISNUMBER('Registro Notas'!$D8:$R8))=0, "-", SUMPRODUCT(('Matriz Criterios'!$H$39:$V$39="X")*ISNUMBER('Registro Notas'!$D8:$R8)*'Registro Notas'!$D8:$R8)/SUMPRODUCT(('Matriz Criterios'!$H$39:$V$39="X")*ISNUMBER('Registro Notas'!$D8:$R8)))</f>
        <v/>
      </c>
      <c r="AK8" s="35">
        <f>IF(SUMPRODUCT(('Matriz Criterios'!$H$40:$V$40="X")*ISNUMBER('Registro Notas'!$D8:$R8))=0, "-", SUMPRODUCT(('Matriz Criterios'!$H$40:$V$40="X")*ISNUMBER('Registro Notas'!$D8:$R8)*'Registro Notas'!$D8:$R8)/SUMPRODUCT(('Matriz Criterios'!$H$40:$V$40="X")*ISNUMBER('Registro Notas'!$D8:$R8)))</f>
        <v/>
      </c>
      <c r="AL8" s="35">
        <f>IF(SUMPRODUCT(('Matriz Criterios'!$H$41:$V$41="X")*ISNUMBER('Registro Notas'!$D8:$R8))=0, "-", SUMPRODUCT(('Matriz Criterios'!$H$41:$V$41="X")*ISNUMBER('Registro Notas'!$D8:$R8)*'Registro Notas'!$D8:$R8)/SUMPRODUCT(('Matriz Criterios'!$H$41:$V$41="X")*ISNUMBER('Registro Notas'!$D8:$R8)))</f>
        <v/>
      </c>
      <c r="AM8" s="35">
        <f>IF(SUMPRODUCT(('Matriz Criterios'!$H$42:$V$42="X")*ISNUMBER('Registro Notas'!$D8:$R8))=0, "-", SUMPRODUCT(('Matriz Criterios'!$H$42:$V$42="X")*ISNUMBER('Registro Notas'!$D8:$R8)*'Registro Notas'!$D8:$R8)/SUMPRODUCT(('Matriz Criterios'!$H$42:$V$42="X")*ISNUMBER('Registro Notas'!$D8:$R8)))</f>
        <v/>
      </c>
      <c r="AN8" s="35">
        <f>IF(SUMPRODUCT(('Matriz Criterios'!$H$43:$V$43="X")*ISNUMBER('Registro Notas'!$D8:$R8))=0, "-", SUMPRODUCT(('Matriz Criterios'!$H$43:$V$43="X")*ISNUMBER('Registro Notas'!$D8:$R8)*'Registro Notas'!$D8:$R8)/SUMPRODUCT(('Matriz Criterios'!$H$43:$V$43="X")*ISNUMBER('Registro Notas'!$D8:$R8)))</f>
        <v/>
      </c>
      <c r="AO8" s="35">
        <f>IF(SUMPRODUCT(('Matriz Criterios'!$H$44:$V$44="X")*ISNUMBER('Registro Notas'!$D8:$R8))=0, "-", SUMPRODUCT(('Matriz Criterios'!$H$44:$V$44="X")*ISNUMBER('Registro Notas'!$D8:$R8)*'Registro Notas'!$D8:$R8)/SUMPRODUCT(('Matriz Criterios'!$H$44:$V$44="X")*ISNUMBER('Registro Notas'!$D8:$R8)))</f>
        <v/>
      </c>
      <c r="AP8" s="35">
        <f>IF(SUMPRODUCT(('Matriz Criterios'!$H$45:$V$45="X")*ISNUMBER('Registro Notas'!$D8:$R8))=0, "-", SUMPRODUCT(('Matriz Criterios'!$H$45:$V$45="X")*ISNUMBER('Registro Notas'!$D8:$R8)*'Registro Notas'!$D8:$R8)/SUMPRODUCT(('Matriz Criterios'!$H$45:$V$45="X")*ISNUMBER('Registro Notas'!$D8:$R8)))</f>
        <v/>
      </c>
      <c r="AQ8" s="35">
        <f>IF(SUMPRODUCT(('Matriz Criterios'!$H$46:$V$46="X")*ISNUMBER('Registro Notas'!$D8:$R8))=0, "-", SUMPRODUCT(('Matriz Criterios'!$H$46:$V$46="X")*ISNUMBER('Registro Notas'!$D8:$R8)*'Registro Notas'!$D8:$R8)/SUMPRODUCT(('Matriz Criterios'!$H$46:$V$46="X")*ISNUMBER('Registro Notas'!$D8:$R8)))</f>
        <v/>
      </c>
      <c r="AR8" s="35">
        <f>IF(SUMPRODUCT(('Matriz Criterios'!$H$47:$V$47="X")*ISNUMBER('Registro Notas'!$D8:$R8))=0, "-", SUMPRODUCT(('Matriz Criterios'!$H$47:$V$47="X")*ISNUMBER('Registro Notas'!$D8:$R8)*'Registro Notas'!$D8:$R8)/SUMPRODUCT(('Matriz Criterios'!$H$47:$V$47="X")*ISNUMBER('Registro Notas'!$D8:$R8)))</f>
        <v/>
      </c>
      <c r="AS8" s="35">
        <f>IF(SUMPRODUCT(('Matriz Criterios'!$H$48:$V$48="X")*ISNUMBER('Registro Notas'!$D8:$R8))=0, "-", SUMPRODUCT(('Matriz Criterios'!$H$48:$V$48="X")*ISNUMBER('Registro Notas'!$D8:$R8)*'Registro Notas'!$D8:$R8)/SUMPRODUCT(('Matriz Criterios'!$H$48:$V$48="X")*ISNUMBER('Registro Notas'!$D8:$R8)))</f>
        <v/>
      </c>
      <c r="AT8" s="35">
        <f>IF(SUMPRODUCT(('Matriz Criterios'!$H$49:$V$49="X")*ISNUMBER('Registro Notas'!$D8:$R8))=0, "-", SUMPRODUCT(('Matriz Criterios'!$H$49:$V$49="X")*ISNUMBER('Registro Notas'!$D8:$R8)*'Registro Notas'!$D8:$R8)/SUMPRODUCT(('Matriz Criterios'!$H$49:$V$49="X")*ISNUMBER('Registro Notas'!$D8:$R8)))</f>
        <v/>
      </c>
      <c r="AU8" s="35">
        <f>IF(SUMPRODUCT(('Matriz Criterios'!$H$50:$V$50="X")*ISNUMBER('Registro Notas'!$D8:$R8))=0, "-", SUMPRODUCT(('Matriz Criterios'!$H$50:$V$50="X")*ISNUMBER('Registro Notas'!$D8:$R8)*'Registro Notas'!$D8:$R8)/SUMPRODUCT(('Matriz Criterios'!$H$50:$V$50="X")*ISNUMBER('Registro Notas'!$D8:$R8)))</f>
        <v/>
      </c>
      <c r="AV8" s="50">
        <f>AVERAGE(C8:AU8)</f>
        <v/>
      </c>
      <c r="AW8" s="51">
        <f>COUNTIF(C8:AU8, "&gt;=5")</f>
        <v/>
      </c>
    </row>
    <row r="9" ht="20" customHeight="1">
      <c r="A9" s="21" t="n">
        <v>4</v>
      </c>
      <c r="B9" s="38" t="inlineStr">
        <is>
          <t>Delgado Santos, Alejandro</t>
        </is>
      </c>
      <c r="C9" s="39">
        <f>IF(SUMPRODUCT(('Matriz Criterios'!$H$6:$V$6="X")*ISNUMBER('Registro Notas'!$D9:$R9))=0, "-", SUMPRODUCT(('Matriz Criterios'!$H$6:$V$6="X")*ISNUMBER('Registro Notas'!$D9:$R9)*'Registro Notas'!$D9:$R9)/SUMPRODUCT(('Matriz Criterios'!$H$6:$V$6="X")*ISNUMBER('Registro Notas'!$D9:$R9)))</f>
        <v/>
      </c>
      <c r="D9" s="39">
        <f>IF(SUMPRODUCT(('Matriz Criterios'!$H$7:$V$7="X")*ISNUMBER('Registro Notas'!$D9:$R9))=0, "-", SUMPRODUCT(('Matriz Criterios'!$H$7:$V$7="X")*ISNUMBER('Registro Notas'!$D9:$R9)*'Registro Notas'!$D9:$R9)/SUMPRODUCT(('Matriz Criterios'!$H$7:$V$7="X")*ISNUMBER('Registro Notas'!$D9:$R9)))</f>
        <v/>
      </c>
      <c r="E9" s="39">
        <f>IF(SUMPRODUCT(('Matriz Criterios'!$H$8:$V$8="X")*ISNUMBER('Registro Notas'!$D9:$R9))=0, "-", SUMPRODUCT(('Matriz Criterios'!$H$8:$V$8="X")*ISNUMBER('Registro Notas'!$D9:$R9)*'Registro Notas'!$D9:$R9)/SUMPRODUCT(('Matriz Criterios'!$H$8:$V$8="X")*ISNUMBER('Registro Notas'!$D9:$R9)))</f>
        <v/>
      </c>
      <c r="F9" s="39">
        <f>IF(SUMPRODUCT(('Matriz Criterios'!$H$9:$V$9="X")*ISNUMBER('Registro Notas'!$D9:$R9))=0, "-", SUMPRODUCT(('Matriz Criterios'!$H$9:$V$9="X")*ISNUMBER('Registro Notas'!$D9:$R9)*'Registro Notas'!$D9:$R9)/SUMPRODUCT(('Matriz Criterios'!$H$9:$V$9="X")*ISNUMBER('Registro Notas'!$D9:$R9)))</f>
        <v/>
      </c>
      <c r="G9" s="39">
        <f>IF(SUMPRODUCT(('Matriz Criterios'!$H$10:$V$10="X")*ISNUMBER('Registro Notas'!$D9:$R9))=0, "-", SUMPRODUCT(('Matriz Criterios'!$H$10:$V$10="X")*ISNUMBER('Registro Notas'!$D9:$R9)*'Registro Notas'!$D9:$R9)/SUMPRODUCT(('Matriz Criterios'!$H$10:$V$10="X")*ISNUMBER('Registro Notas'!$D9:$R9)))</f>
        <v/>
      </c>
      <c r="H9" s="39">
        <f>IF(SUMPRODUCT(('Matriz Criterios'!$H$11:$V$11="X")*ISNUMBER('Registro Notas'!$D9:$R9))=0, "-", SUMPRODUCT(('Matriz Criterios'!$H$11:$V$11="X")*ISNUMBER('Registro Notas'!$D9:$R9)*'Registro Notas'!$D9:$R9)/SUMPRODUCT(('Matriz Criterios'!$H$11:$V$11="X")*ISNUMBER('Registro Notas'!$D9:$R9)))</f>
        <v/>
      </c>
      <c r="I9" s="39">
        <f>IF(SUMPRODUCT(('Matriz Criterios'!$H$12:$V$12="X")*ISNUMBER('Registro Notas'!$D9:$R9))=0, "-", SUMPRODUCT(('Matriz Criterios'!$H$12:$V$12="X")*ISNUMBER('Registro Notas'!$D9:$R9)*'Registro Notas'!$D9:$R9)/SUMPRODUCT(('Matriz Criterios'!$H$12:$V$12="X")*ISNUMBER('Registro Notas'!$D9:$R9)))</f>
        <v/>
      </c>
      <c r="J9" s="39">
        <f>IF(SUMPRODUCT(('Matriz Criterios'!$H$13:$V$13="X")*ISNUMBER('Registro Notas'!$D9:$R9))=0, "-", SUMPRODUCT(('Matriz Criterios'!$H$13:$V$13="X")*ISNUMBER('Registro Notas'!$D9:$R9)*'Registro Notas'!$D9:$R9)/SUMPRODUCT(('Matriz Criterios'!$H$13:$V$13="X")*ISNUMBER('Registro Notas'!$D9:$R9)))</f>
        <v/>
      </c>
      <c r="K9" s="39">
        <f>IF(SUMPRODUCT(('Matriz Criterios'!$H$14:$V$14="X")*ISNUMBER('Registro Notas'!$D9:$R9))=0, "-", SUMPRODUCT(('Matriz Criterios'!$H$14:$V$14="X")*ISNUMBER('Registro Notas'!$D9:$R9)*'Registro Notas'!$D9:$R9)/SUMPRODUCT(('Matriz Criterios'!$H$14:$V$14="X")*ISNUMBER('Registro Notas'!$D9:$R9)))</f>
        <v/>
      </c>
      <c r="L9" s="39">
        <f>IF(SUMPRODUCT(('Matriz Criterios'!$H$15:$V$15="X")*ISNUMBER('Registro Notas'!$D9:$R9))=0, "-", SUMPRODUCT(('Matriz Criterios'!$H$15:$V$15="X")*ISNUMBER('Registro Notas'!$D9:$R9)*'Registro Notas'!$D9:$R9)/SUMPRODUCT(('Matriz Criterios'!$H$15:$V$15="X")*ISNUMBER('Registro Notas'!$D9:$R9)))</f>
        <v/>
      </c>
      <c r="M9" s="39">
        <f>IF(SUMPRODUCT(('Matriz Criterios'!$H$16:$V$16="X")*ISNUMBER('Registro Notas'!$D9:$R9))=0, "-", SUMPRODUCT(('Matriz Criterios'!$H$16:$V$16="X")*ISNUMBER('Registro Notas'!$D9:$R9)*'Registro Notas'!$D9:$R9)/SUMPRODUCT(('Matriz Criterios'!$H$16:$V$16="X")*ISNUMBER('Registro Notas'!$D9:$R9)))</f>
        <v/>
      </c>
      <c r="N9" s="39">
        <f>IF(SUMPRODUCT(('Matriz Criterios'!$H$17:$V$17="X")*ISNUMBER('Registro Notas'!$D9:$R9))=0, "-", SUMPRODUCT(('Matriz Criterios'!$H$17:$V$17="X")*ISNUMBER('Registro Notas'!$D9:$R9)*'Registro Notas'!$D9:$R9)/SUMPRODUCT(('Matriz Criterios'!$H$17:$V$17="X")*ISNUMBER('Registro Notas'!$D9:$R9)))</f>
        <v/>
      </c>
      <c r="O9" s="39">
        <f>IF(SUMPRODUCT(('Matriz Criterios'!$H$18:$V$18="X")*ISNUMBER('Registro Notas'!$D9:$R9))=0, "-", SUMPRODUCT(('Matriz Criterios'!$H$18:$V$18="X")*ISNUMBER('Registro Notas'!$D9:$R9)*'Registro Notas'!$D9:$R9)/SUMPRODUCT(('Matriz Criterios'!$H$18:$V$18="X")*ISNUMBER('Registro Notas'!$D9:$R9)))</f>
        <v/>
      </c>
      <c r="P9" s="39">
        <f>IF(SUMPRODUCT(('Matriz Criterios'!$H$19:$V$19="X")*ISNUMBER('Registro Notas'!$D9:$R9))=0, "-", SUMPRODUCT(('Matriz Criterios'!$H$19:$V$19="X")*ISNUMBER('Registro Notas'!$D9:$R9)*'Registro Notas'!$D9:$R9)/SUMPRODUCT(('Matriz Criterios'!$H$19:$V$19="X")*ISNUMBER('Registro Notas'!$D9:$R9)))</f>
        <v/>
      </c>
      <c r="Q9" s="39">
        <f>IF(SUMPRODUCT(('Matriz Criterios'!$H$20:$V$20="X")*ISNUMBER('Registro Notas'!$D9:$R9))=0, "-", SUMPRODUCT(('Matriz Criterios'!$H$20:$V$20="X")*ISNUMBER('Registro Notas'!$D9:$R9)*'Registro Notas'!$D9:$R9)/SUMPRODUCT(('Matriz Criterios'!$H$20:$V$20="X")*ISNUMBER('Registro Notas'!$D9:$R9)))</f>
        <v/>
      </c>
      <c r="R9" s="39">
        <f>IF(SUMPRODUCT(('Matriz Criterios'!$H$21:$V$21="X")*ISNUMBER('Registro Notas'!$D9:$R9))=0, "-", SUMPRODUCT(('Matriz Criterios'!$H$21:$V$21="X")*ISNUMBER('Registro Notas'!$D9:$R9)*'Registro Notas'!$D9:$R9)/SUMPRODUCT(('Matriz Criterios'!$H$21:$V$21="X")*ISNUMBER('Registro Notas'!$D9:$R9)))</f>
        <v/>
      </c>
      <c r="S9" s="39">
        <f>IF(SUMPRODUCT(('Matriz Criterios'!$H$22:$V$22="X")*ISNUMBER('Registro Notas'!$D9:$R9))=0, "-", SUMPRODUCT(('Matriz Criterios'!$H$22:$V$22="X")*ISNUMBER('Registro Notas'!$D9:$R9)*'Registro Notas'!$D9:$R9)/SUMPRODUCT(('Matriz Criterios'!$H$22:$V$22="X")*ISNUMBER('Registro Notas'!$D9:$R9)))</f>
        <v/>
      </c>
      <c r="T9" s="39">
        <f>IF(SUMPRODUCT(('Matriz Criterios'!$H$23:$V$23="X")*ISNUMBER('Registro Notas'!$D9:$R9))=0, "-", SUMPRODUCT(('Matriz Criterios'!$H$23:$V$23="X")*ISNUMBER('Registro Notas'!$D9:$R9)*'Registro Notas'!$D9:$R9)/SUMPRODUCT(('Matriz Criterios'!$H$23:$V$23="X")*ISNUMBER('Registro Notas'!$D9:$R9)))</f>
        <v/>
      </c>
      <c r="U9" s="39">
        <f>IF(SUMPRODUCT(('Matriz Criterios'!$H$24:$V$24="X")*ISNUMBER('Registro Notas'!$D9:$R9))=0, "-", SUMPRODUCT(('Matriz Criterios'!$H$24:$V$24="X")*ISNUMBER('Registro Notas'!$D9:$R9)*'Registro Notas'!$D9:$R9)/SUMPRODUCT(('Matriz Criterios'!$H$24:$V$24="X")*ISNUMBER('Registro Notas'!$D9:$R9)))</f>
        <v/>
      </c>
      <c r="V9" s="39">
        <f>IF(SUMPRODUCT(('Matriz Criterios'!$H$25:$V$25="X")*ISNUMBER('Registro Notas'!$D9:$R9))=0, "-", SUMPRODUCT(('Matriz Criterios'!$H$25:$V$25="X")*ISNUMBER('Registro Notas'!$D9:$R9)*'Registro Notas'!$D9:$R9)/SUMPRODUCT(('Matriz Criterios'!$H$25:$V$25="X")*ISNUMBER('Registro Notas'!$D9:$R9)))</f>
        <v/>
      </c>
      <c r="W9" s="39">
        <f>IF(SUMPRODUCT(('Matriz Criterios'!$H$26:$V$26="X")*ISNUMBER('Registro Notas'!$D9:$R9))=0, "-", SUMPRODUCT(('Matriz Criterios'!$H$26:$V$26="X")*ISNUMBER('Registro Notas'!$D9:$R9)*'Registro Notas'!$D9:$R9)/SUMPRODUCT(('Matriz Criterios'!$H$26:$V$26="X")*ISNUMBER('Registro Notas'!$D9:$R9)))</f>
        <v/>
      </c>
      <c r="X9" s="39">
        <f>IF(SUMPRODUCT(('Matriz Criterios'!$H$27:$V$27="X")*ISNUMBER('Registro Notas'!$D9:$R9))=0, "-", SUMPRODUCT(('Matriz Criterios'!$H$27:$V$27="X")*ISNUMBER('Registro Notas'!$D9:$R9)*'Registro Notas'!$D9:$R9)/SUMPRODUCT(('Matriz Criterios'!$H$27:$V$27="X")*ISNUMBER('Registro Notas'!$D9:$R9)))</f>
        <v/>
      </c>
      <c r="Y9" s="39">
        <f>IF(SUMPRODUCT(('Matriz Criterios'!$H$28:$V$28="X")*ISNUMBER('Registro Notas'!$D9:$R9))=0, "-", SUMPRODUCT(('Matriz Criterios'!$H$28:$V$28="X")*ISNUMBER('Registro Notas'!$D9:$R9)*'Registro Notas'!$D9:$R9)/SUMPRODUCT(('Matriz Criterios'!$H$28:$V$28="X")*ISNUMBER('Registro Notas'!$D9:$R9)))</f>
        <v/>
      </c>
      <c r="Z9" s="39">
        <f>IF(SUMPRODUCT(('Matriz Criterios'!$H$29:$V$29="X")*ISNUMBER('Registro Notas'!$D9:$R9))=0, "-", SUMPRODUCT(('Matriz Criterios'!$H$29:$V$29="X")*ISNUMBER('Registro Notas'!$D9:$R9)*'Registro Notas'!$D9:$R9)/SUMPRODUCT(('Matriz Criterios'!$H$29:$V$29="X")*ISNUMBER('Registro Notas'!$D9:$R9)))</f>
        <v/>
      </c>
      <c r="AA9" s="39">
        <f>IF(SUMPRODUCT(('Matriz Criterios'!$H$30:$V$30="X")*ISNUMBER('Registro Notas'!$D9:$R9))=0, "-", SUMPRODUCT(('Matriz Criterios'!$H$30:$V$30="X")*ISNUMBER('Registro Notas'!$D9:$R9)*'Registro Notas'!$D9:$R9)/SUMPRODUCT(('Matriz Criterios'!$H$30:$V$30="X")*ISNUMBER('Registro Notas'!$D9:$R9)))</f>
        <v/>
      </c>
      <c r="AB9" s="39">
        <f>IF(SUMPRODUCT(('Matriz Criterios'!$H$31:$V$31="X")*ISNUMBER('Registro Notas'!$D9:$R9))=0, "-", SUMPRODUCT(('Matriz Criterios'!$H$31:$V$31="X")*ISNUMBER('Registro Notas'!$D9:$R9)*'Registro Notas'!$D9:$R9)/SUMPRODUCT(('Matriz Criterios'!$H$31:$V$31="X")*ISNUMBER('Registro Notas'!$D9:$R9)))</f>
        <v/>
      </c>
      <c r="AC9" s="39">
        <f>IF(SUMPRODUCT(('Matriz Criterios'!$H$32:$V$32="X")*ISNUMBER('Registro Notas'!$D9:$R9))=0, "-", SUMPRODUCT(('Matriz Criterios'!$H$32:$V$32="X")*ISNUMBER('Registro Notas'!$D9:$R9)*'Registro Notas'!$D9:$R9)/SUMPRODUCT(('Matriz Criterios'!$H$32:$V$32="X")*ISNUMBER('Registro Notas'!$D9:$R9)))</f>
        <v/>
      </c>
      <c r="AD9" s="39">
        <f>IF(SUMPRODUCT(('Matriz Criterios'!$H$33:$V$33="X")*ISNUMBER('Registro Notas'!$D9:$R9))=0, "-", SUMPRODUCT(('Matriz Criterios'!$H$33:$V$33="X")*ISNUMBER('Registro Notas'!$D9:$R9)*'Registro Notas'!$D9:$R9)/SUMPRODUCT(('Matriz Criterios'!$H$33:$V$33="X")*ISNUMBER('Registro Notas'!$D9:$R9)))</f>
        <v/>
      </c>
      <c r="AE9" s="39">
        <f>IF(SUMPRODUCT(('Matriz Criterios'!$H$34:$V$34="X")*ISNUMBER('Registro Notas'!$D9:$R9))=0, "-", SUMPRODUCT(('Matriz Criterios'!$H$34:$V$34="X")*ISNUMBER('Registro Notas'!$D9:$R9)*'Registro Notas'!$D9:$R9)/SUMPRODUCT(('Matriz Criterios'!$H$34:$V$34="X")*ISNUMBER('Registro Notas'!$D9:$R9)))</f>
        <v/>
      </c>
      <c r="AF9" s="39">
        <f>IF(SUMPRODUCT(('Matriz Criterios'!$H$35:$V$35="X")*ISNUMBER('Registro Notas'!$D9:$R9))=0, "-", SUMPRODUCT(('Matriz Criterios'!$H$35:$V$35="X")*ISNUMBER('Registro Notas'!$D9:$R9)*'Registro Notas'!$D9:$R9)/SUMPRODUCT(('Matriz Criterios'!$H$35:$V$35="X")*ISNUMBER('Registro Notas'!$D9:$R9)))</f>
        <v/>
      </c>
      <c r="AG9" s="39">
        <f>IF(SUMPRODUCT(('Matriz Criterios'!$H$36:$V$36="X")*ISNUMBER('Registro Notas'!$D9:$R9))=0, "-", SUMPRODUCT(('Matriz Criterios'!$H$36:$V$36="X")*ISNUMBER('Registro Notas'!$D9:$R9)*'Registro Notas'!$D9:$R9)/SUMPRODUCT(('Matriz Criterios'!$H$36:$V$36="X")*ISNUMBER('Registro Notas'!$D9:$R9)))</f>
        <v/>
      </c>
      <c r="AH9" s="39">
        <f>IF(SUMPRODUCT(('Matriz Criterios'!$H$37:$V$37="X")*ISNUMBER('Registro Notas'!$D9:$R9))=0, "-", SUMPRODUCT(('Matriz Criterios'!$H$37:$V$37="X")*ISNUMBER('Registro Notas'!$D9:$R9)*'Registro Notas'!$D9:$R9)/SUMPRODUCT(('Matriz Criterios'!$H$37:$V$37="X")*ISNUMBER('Registro Notas'!$D9:$R9)))</f>
        <v/>
      </c>
      <c r="AI9" s="39">
        <f>IF(SUMPRODUCT(('Matriz Criterios'!$H$38:$V$38="X")*ISNUMBER('Registro Notas'!$D9:$R9))=0, "-", SUMPRODUCT(('Matriz Criterios'!$H$38:$V$38="X")*ISNUMBER('Registro Notas'!$D9:$R9)*'Registro Notas'!$D9:$R9)/SUMPRODUCT(('Matriz Criterios'!$H$38:$V$38="X")*ISNUMBER('Registro Notas'!$D9:$R9)))</f>
        <v/>
      </c>
      <c r="AJ9" s="39">
        <f>IF(SUMPRODUCT(('Matriz Criterios'!$H$39:$V$39="X")*ISNUMBER('Registro Notas'!$D9:$R9))=0, "-", SUMPRODUCT(('Matriz Criterios'!$H$39:$V$39="X")*ISNUMBER('Registro Notas'!$D9:$R9)*'Registro Notas'!$D9:$R9)/SUMPRODUCT(('Matriz Criterios'!$H$39:$V$39="X")*ISNUMBER('Registro Notas'!$D9:$R9)))</f>
        <v/>
      </c>
      <c r="AK9" s="39">
        <f>IF(SUMPRODUCT(('Matriz Criterios'!$H$40:$V$40="X")*ISNUMBER('Registro Notas'!$D9:$R9))=0, "-", SUMPRODUCT(('Matriz Criterios'!$H$40:$V$40="X")*ISNUMBER('Registro Notas'!$D9:$R9)*'Registro Notas'!$D9:$R9)/SUMPRODUCT(('Matriz Criterios'!$H$40:$V$40="X")*ISNUMBER('Registro Notas'!$D9:$R9)))</f>
        <v/>
      </c>
      <c r="AL9" s="39">
        <f>IF(SUMPRODUCT(('Matriz Criterios'!$H$41:$V$41="X")*ISNUMBER('Registro Notas'!$D9:$R9))=0, "-", SUMPRODUCT(('Matriz Criterios'!$H$41:$V$41="X")*ISNUMBER('Registro Notas'!$D9:$R9)*'Registro Notas'!$D9:$R9)/SUMPRODUCT(('Matriz Criterios'!$H$41:$V$41="X")*ISNUMBER('Registro Notas'!$D9:$R9)))</f>
        <v/>
      </c>
      <c r="AM9" s="39">
        <f>IF(SUMPRODUCT(('Matriz Criterios'!$H$42:$V$42="X")*ISNUMBER('Registro Notas'!$D9:$R9))=0, "-", SUMPRODUCT(('Matriz Criterios'!$H$42:$V$42="X")*ISNUMBER('Registro Notas'!$D9:$R9)*'Registro Notas'!$D9:$R9)/SUMPRODUCT(('Matriz Criterios'!$H$42:$V$42="X")*ISNUMBER('Registro Notas'!$D9:$R9)))</f>
        <v/>
      </c>
      <c r="AN9" s="39">
        <f>IF(SUMPRODUCT(('Matriz Criterios'!$H$43:$V$43="X")*ISNUMBER('Registro Notas'!$D9:$R9))=0, "-", SUMPRODUCT(('Matriz Criterios'!$H$43:$V$43="X")*ISNUMBER('Registro Notas'!$D9:$R9)*'Registro Notas'!$D9:$R9)/SUMPRODUCT(('Matriz Criterios'!$H$43:$V$43="X")*ISNUMBER('Registro Notas'!$D9:$R9)))</f>
        <v/>
      </c>
      <c r="AO9" s="39">
        <f>IF(SUMPRODUCT(('Matriz Criterios'!$H$44:$V$44="X")*ISNUMBER('Registro Notas'!$D9:$R9))=0, "-", SUMPRODUCT(('Matriz Criterios'!$H$44:$V$44="X")*ISNUMBER('Registro Notas'!$D9:$R9)*'Registro Notas'!$D9:$R9)/SUMPRODUCT(('Matriz Criterios'!$H$44:$V$44="X")*ISNUMBER('Registro Notas'!$D9:$R9)))</f>
        <v/>
      </c>
      <c r="AP9" s="39">
        <f>IF(SUMPRODUCT(('Matriz Criterios'!$H$45:$V$45="X")*ISNUMBER('Registro Notas'!$D9:$R9))=0, "-", SUMPRODUCT(('Matriz Criterios'!$H$45:$V$45="X")*ISNUMBER('Registro Notas'!$D9:$R9)*'Registro Notas'!$D9:$R9)/SUMPRODUCT(('Matriz Criterios'!$H$45:$V$45="X")*ISNUMBER('Registro Notas'!$D9:$R9)))</f>
        <v/>
      </c>
      <c r="AQ9" s="39">
        <f>IF(SUMPRODUCT(('Matriz Criterios'!$H$46:$V$46="X")*ISNUMBER('Registro Notas'!$D9:$R9))=0, "-", SUMPRODUCT(('Matriz Criterios'!$H$46:$V$46="X")*ISNUMBER('Registro Notas'!$D9:$R9)*'Registro Notas'!$D9:$R9)/SUMPRODUCT(('Matriz Criterios'!$H$46:$V$46="X")*ISNUMBER('Registro Notas'!$D9:$R9)))</f>
        <v/>
      </c>
      <c r="AR9" s="39">
        <f>IF(SUMPRODUCT(('Matriz Criterios'!$H$47:$V$47="X")*ISNUMBER('Registro Notas'!$D9:$R9))=0, "-", SUMPRODUCT(('Matriz Criterios'!$H$47:$V$47="X")*ISNUMBER('Registro Notas'!$D9:$R9)*'Registro Notas'!$D9:$R9)/SUMPRODUCT(('Matriz Criterios'!$H$47:$V$47="X")*ISNUMBER('Registro Notas'!$D9:$R9)))</f>
        <v/>
      </c>
      <c r="AS9" s="39">
        <f>IF(SUMPRODUCT(('Matriz Criterios'!$H$48:$V$48="X")*ISNUMBER('Registro Notas'!$D9:$R9))=0, "-", SUMPRODUCT(('Matriz Criterios'!$H$48:$V$48="X")*ISNUMBER('Registro Notas'!$D9:$R9)*'Registro Notas'!$D9:$R9)/SUMPRODUCT(('Matriz Criterios'!$H$48:$V$48="X")*ISNUMBER('Registro Notas'!$D9:$R9)))</f>
        <v/>
      </c>
      <c r="AT9" s="39">
        <f>IF(SUMPRODUCT(('Matriz Criterios'!$H$49:$V$49="X")*ISNUMBER('Registro Notas'!$D9:$R9))=0, "-", SUMPRODUCT(('Matriz Criterios'!$H$49:$V$49="X")*ISNUMBER('Registro Notas'!$D9:$R9)*'Registro Notas'!$D9:$R9)/SUMPRODUCT(('Matriz Criterios'!$H$49:$V$49="X")*ISNUMBER('Registro Notas'!$D9:$R9)))</f>
        <v/>
      </c>
      <c r="AU9" s="39">
        <f>IF(SUMPRODUCT(('Matriz Criterios'!$H$50:$V$50="X")*ISNUMBER('Registro Notas'!$D9:$R9))=0, "-", SUMPRODUCT(('Matriz Criterios'!$H$50:$V$50="X")*ISNUMBER('Registro Notas'!$D9:$R9)*'Registro Notas'!$D9:$R9)/SUMPRODUCT(('Matriz Criterios'!$H$50:$V$50="X")*ISNUMBER('Registro Notas'!$D9:$R9)))</f>
        <v/>
      </c>
      <c r="AV9" s="50">
        <f>AVERAGE(C9:AU9)</f>
        <v/>
      </c>
      <c r="AW9" s="51">
        <f>COUNTIF(C9:AU9, "&gt;=5")</f>
        <v/>
      </c>
    </row>
    <row r="10" ht="20" customHeight="1">
      <c r="A10" s="13" t="n">
        <v>5</v>
      </c>
      <c r="B10" s="34" t="inlineStr">
        <is>
          <t>Fernández Navarro, Lucía</t>
        </is>
      </c>
      <c r="C10" s="35">
        <f>IF(SUMPRODUCT(('Matriz Criterios'!$H$6:$V$6="X")*ISNUMBER('Registro Notas'!$D10:$R10))=0, "-", SUMPRODUCT(('Matriz Criterios'!$H$6:$V$6="X")*ISNUMBER('Registro Notas'!$D10:$R10)*'Registro Notas'!$D10:$R10)/SUMPRODUCT(('Matriz Criterios'!$H$6:$V$6="X")*ISNUMBER('Registro Notas'!$D10:$R10)))</f>
        <v/>
      </c>
      <c r="D10" s="35">
        <f>IF(SUMPRODUCT(('Matriz Criterios'!$H$7:$V$7="X")*ISNUMBER('Registro Notas'!$D10:$R10))=0, "-", SUMPRODUCT(('Matriz Criterios'!$H$7:$V$7="X")*ISNUMBER('Registro Notas'!$D10:$R10)*'Registro Notas'!$D10:$R10)/SUMPRODUCT(('Matriz Criterios'!$H$7:$V$7="X")*ISNUMBER('Registro Notas'!$D10:$R10)))</f>
        <v/>
      </c>
      <c r="E10" s="35">
        <f>IF(SUMPRODUCT(('Matriz Criterios'!$H$8:$V$8="X")*ISNUMBER('Registro Notas'!$D10:$R10))=0, "-", SUMPRODUCT(('Matriz Criterios'!$H$8:$V$8="X")*ISNUMBER('Registro Notas'!$D10:$R10)*'Registro Notas'!$D10:$R10)/SUMPRODUCT(('Matriz Criterios'!$H$8:$V$8="X")*ISNUMBER('Registro Notas'!$D10:$R10)))</f>
        <v/>
      </c>
      <c r="F10" s="35">
        <f>IF(SUMPRODUCT(('Matriz Criterios'!$H$9:$V$9="X")*ISNUMBER('Registro Notas'!$D10:$R10))=0, "-", SUMPRODUCT(('Matriz Criterios'!$H$9:$V$9="X")*ISNUMBER('Registro Notas'!$D10:$R10)*'Registro Notas'!$D10:$R10)/SUMPRODUCT(('Matriz Criterios'!$H$9:$V$9="X")*ISNUMBER('Registro Notas'!$D10:$R10)))</f>
        <v/>
      </c>
      <c r="G10" s="35">
        <f>IF(SUMPRODUCT(('Matriz Criterios'!$H$10:$V$10="X")*ISNUMBER('Registro Notas'!$D10:$R10))=0, "-", SUMPRODUCT(('Matriz Criterios'!$H$10:$V$10="X")*ISNUMBER('Registro Notas'!$D10:$R10)*'Registro Notas'!$D10:$R10)/SUMPRODUCT(('Matriz Criterios'!$H$10:$V$10="X")*ISNUMBER('Registro Notas'!$D10:$R10)))</f>
        <v/>
      </c>
      <c r="H10" s="35">
        <f>IF(SUMPRODUCT(('Matriz Criterios'!$H$11:$V$11="X")*ISNUMBER('Registro Notas'!$D10:$R10))=0, "-", SUMPRODUCT(('Matriz Criterios'!$H$11:$V$11="X")*ISNUMBER('Registro Notas'!$D10:$R10)*'Registro Notas'!$D10:$R10)/SUMPRODUCT(('Matriz Criterios'!$H$11:$V$11="X")*ISNUMBER('Registro Notas'!$D10:$R10)))</f>
        <v/>
      </c>
      <c r="I10" s="35">
        <f>IF(SUMPRODUCT(('Matriz Criterios'!$H$12:$V$12="X")*ISNUMBER('Registro Notas'!$D10:$R10))=0, "-", SUMPRODUCT(('Matriz Criterios'!$H$12:$V$12="X")*ISNUMBER('Registro Notas'!$D10:$R10)*'Registro Notas'!$D10:$R10)/SUMPRODUCT(('Matriz Criterios'!$H$12:$V$12="X")*ISNUMBER('Registro Notas'!$D10:$R10)))</f>
        <v/>
      </c>
      <c r="J10" s="35">
        <f>IF(SUMPRODUCT(('Matriz Criterios'!$H$13:$V$13="X")*ISNUMBER('Registro Notas'!$D10:$R10))=0, "-", SUMPRODUCT(('Matriz Criterios'!$H$13:$V$13="X")*ISNUMBER('Registro Notas'!$D10:$R10)*'Registro Notas'!$D10:$R10)/SUMPRODUCT(('Matriz Criterios'!$H$13:$V$13="X")*ISNUMBER('Registro Notas'!$D10:$R10)))</f>
        <v/>
      </c>
      <c r="K10" s="35">
        <f>IF(SUMPRODUCT(('Matriz Criterios'!$H$14:$V$14="X")*ISNUMBER('Registro Notas'!$D10:$R10))=0, "-", SUMPRODUCT(('Matriz Criterios'!$H$14:$V$14="X")*ISNUMBER('Registro Notas'!$D10:$R10)*'Registro Notas'!$D10:$R10)/SUMPRODUCT(('Matriz Criterios'!$H$14:$V$14="X")*ISNUMBER('Registro Notas'!$D10:$R10)))</f>
        <v/>
      </c>
      <c r="L10" s="35">
        <f>IF(SUMPRODUCT(('Matriz Criterios'!$H$15:$V$15="X")*ISNUMBER('Registro Notas'!$D10:$R10))=0, "-", SUMPRODUCT(('Matriz Criterios'!$H$15:$V$15="X")*ISNUMBER('Registro Notas'!$D10:$R10)*'Registro Notas'!$D10:$R10)/SUMPRODUCT(('Matriz Criterios'!$H$15:$V$15="X")*ISNUMBER('Registro Notas'!$D10:$R10)))</f>
        <v/>
      </c>
      <c r="M10" s="35">
        <f>IF(SUMPRODUCT(('Matriz Criterios'!$H$16:$V$16="X")*ISNUMBER('Registro Notas'!$D10:$R10))=0, "-", SUMPRODUCT(('Matriz Criterios'!$H$16:$V$16="X")*ISNUMBER('Registro Notas'!$D10:$R10)*'Registro Notas'!$D10:$R10)/SUMPRODUCT(('Matriz Criterios'!$H$16:$V$16="X")*ISNUMBER('Registro Notas'!$D10:$R10)))</f>
        <v/>
      </c>
      <c r="N10" s="35">
        <f>IF(SUMPRODUCT(('Matriz Criterios'!$H$17:$V$17="X")*ISNUMBER('Registro Notas'!$D10:$R10))=0, "-", SUMPRODUCT(('Matriz Criterios'!$H$17:$V$17="X")*ISNUMBER('Registro Notas'!$D10:$R10)*'Registro Notas'!$D10:$R10)/SUMPRODUCT(('Matriz Criterios'!$H$17:$V$17="X")*ISNUMBER('Registro Notas'!$D10:$R10)))</f>
        <v/>
      </c>
      <c r="O10" s="35">
        <f>IF(SUMPRODUCT(('Matriz Criterios'!$H$18:$V$18="X")*ISNUMBER('Registro Notas'!$D10:$R10))=0, "-", SUMPRODUCT(('Matriz Criterios'!$H$18:$V$18="X")*ISNUMBER('Registro Notas'!$D10:$R10)*'Registro Notas'!$D10:$R10)/SUMPRODUCT(('Matriz Criterios'!$H$18:$V$18="X")*ISNUMBER('Registro Notas'!$D10:$R10)))</f>
        <v/>
      </c>
      <c r="P10" s="35">
        <f>IF(SUMPRODUCT(('Matriz Criterios'!$H$19:$V$19="X")*ISNUMBER('Registro Notas'!$D10:$R10))=0, "-", SUMPRODUCT(('Matriz Criterios'!$H$19:$V$19="X")*ISNUMBER('Registro Notas'!$D10:$R10)*'Registro Notas'!$D10:$R10)/SUMPRODUCT(('Matriz Criterios'!$H$19:$V$19="X")*ISNUMBER('Registro Notas'!$D10:$R10)))</f>
        <v/>
      </c>
      <c r="Q10" s="35">
        <f>IF(SUMPRODUCT(('Matriz Criterios'!$H$20:$V$20="X")*ISNUMBER('Registro Notas'!$D10:$R10))=0, "-", SUMPRODUCT(('Matriz Criterios'!$H$20:$V$20="X")*ISNUMBER('Registro Notas'!$D10:$R10)*'Registro Notas'!$D10:$R10)/SUMPRODUCT(('Matriz Criterios'!$H$20:$V$20="X")*ISNUMBER('Registro Notas'!$D10:$R10)))</f>
        <v/>
      </c>
      <c r="R10" s="35">
        <f>IF(SUMPRODUCT(('Matriz Criterios'!$H$21:$V$21="X")*ISNUMBER('Registro Notas'!$D10:$R10))=0, "-", SUMPRODUCT(('Matriz Criterios'!$H$21:$V$21="X")*ISNUMBER('Registro Notas'!$D10:$R10)*'Registro Notas'!$D10:$R10)/SUMPRODUCT(('Matriz Criterios'!$H$21:$V$21="X")*ISNUMBER('Registro Notas'!$D10:$R10)))</f>
        <v/>
      </c>
      <c r="S10" s="35">
        <f>IF(SUMPRODUCT(('Matriz Criterios'!$H$22:$V$22="X")*ISNUMBER('Registro Notas'!$D10:$R10))=0, "-", SUMPRODUCT(('Matriz Criterios'!$H$22:$V$22="X")*ISNUMBER('Registro Notas'!$D10:$R10)*'Registro Notas'!$D10:$R10)/SUMPRODUCT(('Matriz Criterios'!$H$22:$V$22="X")*ISNUMBER('Registro Notas'!$D10:$R10)))</f>
        <v/>
      </c>
      <c r="T10" s="35">
        <f>IF(SUMPRODUCT(('Matriz Criterios'!$H$23:$V$23="X")*ISNUMBER('Registro Notas'!$D10:$R10))=0, "-", SUMPRODUCT(('Matriz Criterios'!$H$23:$V$23="X")*ISNUMBER('Registro Notas'!$D10:$R10)*'Registro Notas'!$D10:$R10)/SUMPRODUCT(('Matriz Criterios'!$H$23:$V$23="X")*ISNUMBER('Registro Notas'!$D10:$R10)))</f>
        <v/>
      </c>
      <c r="U10" s="35">
        <f>IF(SUMPRODUCT(('Matriz Criterios'!$H$24:$V$24="X")*ISNUMBER('Registro Notas'!$D10:$R10))=0, "-", SUMPRODUCT(('Matriz Criterios'!$H$24:$V$24="X")*ISNUMBER('Registro Notas'!$D10:$R10)*'Registro Notas'!$D10:$R10)/SUMPRODUCT(('Matriz Criterios'!$H$24:$V$24="X")*ISNUMBER('Registro Notas'!$D10:$R10)))</f>
        <v/>
      </c>
      <c r="V10" s="35">
        <f>IF(SUMPRODUCT(('Matriz Criterios'!$H$25:$V$25="X")*ISNUMBER('Registro Notas'!$D10:$R10))=0, "-", SUMPRODUCT(('Matriz Criterios'!$H$25:$V$25="X")*ISNUMBER('Registro Notas'!$D10:$R10)*'Registro Notas'!$D10:$R10)/SUMPRODUCT(('Matriz Criterios'!$H$25:$V$25="X")*ISNUMBER('Registro Notas'!$D10:$R10)))</f>
        <v/>
      </c>
      <c r="W10" s="35">
        <f>IF(SUMPRODUCT(('Matriz Criterios'!$H$26:$V$26="X")*ISNUMBER('Registro Notas'!$D10:$R10))=0, "-", SUMPRODUCT(('Matriz Criterios'!$H$26:$V$26="X")*ISNUMBER('Registro Notas'!$D10:$R10)*'Registro Notas'!$D10:$R10)/SUMPRODUCT(('Matriz Criterios'!$H$26:$V$26="X")*ISNUMBER('Registro Notas'!$D10:$R10)))</f>
        <v/>
      </c>
      <c r="X10" s="35">
        <f>IF(SUMPRODUCT(('Matriz Criterios'!$H$27:$V$27="X")*ISNUMBER('Registro Notas'!$D10:$R10))=0, "-", SUMPRODUCT(('Matriz Criterios'!$H$27:$V$27="X")*ISNUMBER('Registro Notas'!$D10:$R10)*'Registro Notas'!$D10:$R10)/SUMPRODUCT(('Matriz Criterios'!$H$27:$V$27="X")*ISNUMBER('Registro Notas'!$D10:$R10)))</f>
        <v/>
      </c>
      <c r="Y10" s="35">
        <f>IF(SUMPRODUCT(('Matriz Criterios'!$H$28:$V$28="X")*ISNUMBER('Registro Notas'!$D10:$R10))=0, "-", SUMPRODUCT(('Matriz Criterios'!$H$28:$V$28="X")*ISNUMBER('Registro Notas'!$D10:$R10)*'Registro Notas'!$D10:$R10)/SUMPRODUCT(('Matriz Criterios'!$H$28:$V$28="X")*ISNUMBER('Registro Notas'!$D10:$R10)))</f>
        <v/>
      </c>
      <c r="Z10" s="35">
        <f>IF(SUMPRODUCT(('Matriz Criterios'!$H$29:$V$29="X")*ISNUMBER('Registro Notas'!$D10:$R10))=0, "-", SUMPRODUCT(('Matriz Criterios'!$H$29:$V$29="X")*ISNUMBER('Registro Notas'!$D10:$R10)*'Registro Notas'!$D10:$R10)/SUMPRODUCT(('Matriz Criterios'!$H$29:$V$29="X")*ISNUMBER('Registro Notas'!$D10:$R10)))</f>
        <v/>
      </c>
      <c r="AA10" s="35">
        <f>IF(SUMPRODUCT(('Matriz Criterios'!$H$30:$V$30="X")*ISNUMBER('Registro Notas'!$D10:$R10))=0, "-", SUMPRODUCT(('Matriz Criterios'!$H$30:$V$30="X")*ISNUMBER('Registro Notas'!$D10:$R10)*'Registro Notas'!$D10:$R10)/SUMPRODUCT(('Matriz Criterios'!$H$30:$V$30="X")*ISNUMBER('Registro Notas'!$D10:$R10)))</f>
        <v/>
      </c>
      <c r="AB10" s="35">
        <f>IF(SUMPRODUCT(('Matriz Criterios'!$H$31:$V$31="X")*ISNUMBER('Registro Notas'!$D10:$R10))=0, "-", SUMPRODUCT(('Matriz Criterios'!$H$31:$V$31="X")*ISNUMBER('Registro Notas'!$D10:$R10)*'Registro Notas'!$D10:$R10)/SUMPRODUCT(('Matriz Criterios'!$H$31:$V$31="X")*ISNUMBER('Registro Notas'!$D10:$R10)))</f>
        <v/>
      </c>
      <c r="AC10" s="35">
        <f>IF(SUMPRODUCT(('Matriz Criterios'!$H$32:$V$32="X")*ISNUMBER('Registro Notas'!$D10:$R10))=0, "-", SUMPRODUCT(('Matriz Criterios'!$H$32:$V$32="X")*ISNUMBER('Registro Notas'!$D10:$R10)*'Registro Notas'!$D10:$R10)/SUMPRODUCT(('Matriz Criterios'!$H$32:$V$32="X")*ISNUMBER('Registro Notas'!$D10:$R10)))</f>
        <v/>
      </c>
      <c r="AD10" s="35">
        <f>IF(SUMPRODUCT(('Matriz Criterios'!$H$33:$V$33="X")*ISNUMBER('Registro Notas'!$D10:$R10))=0, "-", SUMPRODUCT(('Matriz Criterios'!$H$33:$V$33="X")*ISNUMBER('Registro Notas'!$D10:$R10)*'Registro Notas'!$D10:$R10)/SUMPRODUCT(('Matriz Criterios'!$H$33:$V$33="X")*ISNUMBER('Registro Notas'!$D10:$R10)))</f>
        <v/>
      </c>
      <c r="AE10" s="35">
        <f>IF(SUMPRODUCT(('Matriz Criterios'!$H$34:$V$34="X")*ISNUMBER('Registro Notas'!$D10:$R10))=0, "-", SUMPRODUCT(('Matriz Criterios'!$H$34:$V$34="X")*ISNUMBER('Registro Notas'!$D10:$R10)*'Registro Notas'!$D10:$R10)/SUMPRODUCT(('Matriz Criterios'!$H$34:$V$34="X")*ISNUMBER('Registro Notas'!$D10:$R10)))</f>
        <v/>
      </c>
      <c r="AF10" s="35">
        <f>IF(SUMPRODUCT(('Matriz Criterios'!$H$35:$V$35="X")*ISNUMBER('Registro Notas'!$D10:$R10))=0, "-", SUMPRODUCT(('Matriz Criterios'!$H$35:$V$35="X")*ISNUMBER('Registro Notas'!$D10:$R10)*'Registro Notas'!$D10:$R10)/SUMPRODUCT(('Matriz Criterios'!$H$35:$V$35="X")*ISNUMBER('Registro Notas'!$D10:$R10)))</f>
        <v/>
      </c>
      <c r="AG10" s="35">
        <f>IF(SUMPRODUCT(('Matriz Criterios'!$H$36:$V$36="X")*ISNUMBER('Registro Notas'!$D10:$R10))=0, "-", SUMPRODUCT(('Matriz Criterios'!$H$36:$V$36="X")*ISNUMBER('Registro Notas'!$D10:$R10)*'Registro Notas'!$D10:$R10)/SUMPRODUCT(('Matriz Criterios'!$H$36:$V$36="X")*ISNUMBER('Registro Notas'!$D10:$R10)))</f>
        <v/>
      </c>
      <c r="AH10" s="35">
        <f>IF(SUMPRODUCT(('Matriz Criterios'!$H$37:$V$37="X")*ISNUMBER('Registro Notas'!$D10:$R10))=0, "-", SUMPRODUCT(('Matriz Criterios'!$H$37:$V$37="X")*ISNUMBER('Registro Notas'!$D10:$R10)*'Registro Notas'!$D10:$R10)/SUMPRODUCT(('Matriz Criterios'!$H$37:$V$37="X")*ISNUMBER('Registro Notas'!$D10:$R10)))</f>
        <v/>
      </c>
      <c r="AI10" s="35">
        <f>IF(SUMPRODUCT(('Matriz Criterios'!$H$38:$V$38="X")*ISNUMBER('Registro Notas'!$D10:$R10))=0, "-", SUMPRODUCT(('Matriz Criterios'!$H$38:$V$38="X")*ISNUMBER('Registro Notas'!$D10:$R10)*'Registro Notas'!$D10:$R10)/SUMPRODUCT(('Matriz Criterios'!$H$38:$V$38="X")*ISNUMBER('Registro Notas'!$D10:$R10)))</f>
        <v/>
      </c>
      <c r="AJ10" s="35">
        <f>IF(SUMPRODUCT(('Matriz Criterios'!$H$39:$V$39="X")*ISNUMBER('Registro Notas'!$D10:$R10))=0, "-", SUMPRODUCT(('Matriz Criterios'!$H$39:$V$39="X")*ISNUMBER('Registro Notas'!$D10:$R10)*'Registro Notas'!$D10:$R10)/SUMPRODUCT(('Matriz Criterios'!$H$39:$V$39="X")*ISNUMBER('Registro Notas'!$D10:$R10)))</f>
        <v/>
      </c>
      <c r="AK10" s="35">
        <f>IF(SUMPRODUCT(('Matriz Criterios'!$H$40:$V$40="X")*ISNUMBER('Registro Notas'!$D10:$R10))=0, "-", SUMPRODUCT(('Matriz Criterios'!$H$40:$V$40="X")*ISNUMBER('Registro Notas'!$D10:$R10)*'Registro Notas'!$D10:$R10)/SUMPRODUCT(('Matriz Criterios'!$H$40:$V$40="X")*ISNUMBER('Registro Notas'!$D10:$R10)))</f>
        <v/>
      </c>
      <c r="AL10" s="35">
        <f>IF(SUMPRODUCT(('Matriz Criterios'!$H$41:$V$41="X")*ISNUMBER('Registro Notas'!$D10:$R10))=0, "-", SUMPRODUCT(('Matriz Criterios'!$H$41:$V$41="X")*ISNUMBER('Registro Notas'!$D10:$R10)*'Registro Notas'!$D10:$R10)/SUMPRODUCT(('Matriz Criterios'!$H$41:$V$41="X")*ISNUMBER('Registro Notas'!$D10:$R10)))</f>
        <v/>
      </c>
      <c r="AM10" s="35">
        <f>IF(SUMPRODUCT(('Matriz Criterios'!$H$42:$V$42="X")*ISNUMBER('Registro Notas'!$D10:$R10))=0, "-", SUMPRODUCT(('Matriz Criterios'!$H$42:$V$42="X")*ISNUMBER('Registro Notas'!$D10:$R10)*'Registro Notas'!$D10:$R10)/SUMPRODUCT(('Matriz Criterios'!$H$42:$V$42="X")*ISNUMBER('Registro Notas'!$D10:$R10)))</f>
        <v/>
      </c>
      <c r="AN10" s="35">
        <f>IF(SUMPRODUCT(('Matriz Criterios'!$H$43:$V$43="X")*ISNUMBER('Registro Notas'!$D10:$R10))=0, "-", SUMPRODUCT(('Matriz Criterios'!$H$43:$V$43="X")*ISNUMBER('Registro Notas'!$D10:$R10)*'Registro Notas'!$D10:$R10)/SUMPRODUCT(('Matriz Criterios'!$H$43:$V$43="X")*ISNUMBER('Registro Notas'!$D10:$R10)))</f>
        <v/>
      </c>
      <c r="AO10" s="35">
        <f>IF(SUMPRODUCT(('Matriz Criterios'!$H$44:$V$44="X")*ISNUMBER('Registro Notas'!$D10:$R10))=0, "-", SUMPRODUCT(('Matriz Criterios'!$H$44:$V$44="X")*ISNUMBER('Registro Notas'!$D10:$R10)*'Registro Notas'!$D10:$R10)/SUMPRODUCT(('Matriz Criterios'!$H$44:$V$44="X")*ISNUMBER('Registro Notas'!$D10:$R10)))</f>
        <v/>
      </c>
      <c r="AP10" s="35">
        <f>IF(SUMPRODUCT(('Matriz Criterios'!$H$45:$V$45="X")*ISNUMBER('Registro Notas'!$D10:$R10))=0, "-", SUMPRODUCT(('Matriz Criterios'!$H$45:$V$45="X")*ISNUMBER('Registro Notas'!$D10:$R10)*'Registro Notas'!$D10:$R10)/SUMPRODUCT(('Matriz Criterios'!$H$45:$V$45="X")*ISNUMBER('Registro Notas'!$D10:$R10)))</f>
        <v/>
      </c>
      <c r="AQ10" s="35">
        <f>IF(SUMPRODUCT(('Matriz Criterios'!$H$46:$V$46="X")*ISNUMBER('Registro Notas'!$D10:$R10))=0, "-", SUMPRODUCT(('Matriz Criterios'!$H$46:$V$46="X")*ISNUMBER('Registro Notas'!$D10:$R10)*'Registro Notas'!$D10:$R10)/SUMPRODUCT(('Matriz Criterios'!$H$46:$V$46="X")*ISNUMBER('Registro Notas'!$D10:$R10)))</f>
        <v/>
      </c>
      <c r="AR10" s="35">
        <f>IF(SUMPRODUCT(('Matriz Criterios'!$H$47:$V$47="X")*ISNUMBER('Registro Notas'!$D10:$R10))=0, "-", SUMPRODUCT(('Matriz Criterios'!$H$47:$V$47="X")*ISNUMBER('Registro Notas'!$D10:$R10)*'Registro Notas'!$D10:$R10)/SUMPRODUCT(('Matriz Criterios'!$H$47:$V$47="X")*ISNUMBER('Registro Notas'!$D10:$R10)))</f>
        <v/>
      </c>
      <c r="AS10" s="35">
        <f>IF(SUMPRODUCT(('Matriz Criterios'!$H$48:$V$48="X")*ISNUMBER('Registro Notas'!$D10:$R10))=0, "-", SUMPRODUCT(('Matriz Criterios'!$H$48:$V$48="X")*ISNUMBER('Registro Notas'!$D10:$R10)*'Registro Notas'!$D10:$R10)/SUMPRODUCT(('Matriz Criterios'!$H$48:$V$48="X")*ISNUMBER('Registro Notas'!$D10:$R10)))</f>
        <v/>
      </c>
      <c r="AT10" s="35">
        <f>IF(SUMPRODUCT(('Matriz Criterios'!$H$49:$V$49="X")*ISNUMBER('Registro Notas'!$D10:$R10))=0, "-", SUMPRODUCT(('Matriz Criterios'!$H$49:$V$49="X")*ISNUMBER('Registro Notas'!$D10:$R10)*'Registro Notas'!$D10:$R10)/SUMPRODUCT(('Matriz Criterios'!$H$49:$V$49="X")*ISNUMBER('Registro Notas'!$D10:$R10)))</f>
        <v/>
      </c>
      <c r="AU10" s="35">
        <f>IF(SUMPRODUCT(('Matriz Criterios'!$H$50:$V$50="X")*ISNUMBER('Registro Notas'!$D10:$R10))=0, "-", SUMPRODUCT(('Matriz Criterios'!$H$50:$V$50="X")*ISNUMBER('Registro Notas'!$D10:$R10)*'Registro Notas'!$D10:$R10)/SUMPRODUCT(('Matriz Criterios'!$H$50:$V$50="X")*ISNUMBER('Registro Notas'!$D10:$R10)))</f>
        <v/>
      </c>
      <c r="AV10" s="50">
        <f>AVERAGE(C10:AU10)</f>
        <v/>
      </c>
      <c r="AW10" s="51">
        <f>COUNTIF(C10:AU10, "&gt;=5")</f>
        <v/>
      </c>
    </row>
    <row r="11" ht="20" customHeight="1">
      <c r="A11" s="21" t="n">
        <v>6</v>
      </c>
      <c r="B11" s="38" t="inlineStr">
        <is>
          <t>García Serrano, David</t>
        </is>
      </c>
      <c r="C11" s="39">
        <f>IF(SUMPRODUCT(('Matriz Criterios'!$H$6:$V$6="X")*ISNUMBER('Registro Notas'!$D11:$R11))=0, "-", SUMPRODUCT(('Matriz Criterios'!$H$6:$V$6="X")*ISNUMBER('Registro Notas'!$D11:$R11)*'Registro Notas'!$D11:$R11)/SUMPRODUCT(('Matriz Criterios'!$H$6:$V$6="X")*ISNUMBER('Registro Notas'!$D11:$R11)))</f>
        <v/>
      </c>
      <c r="D11" s="39">
        <f>IF(SUMPRODUCT(('Matriz Criterios'!$H$7:$V$7="X")*ISNUMBER('Registro Notas'!$D11:$R11))=0, "-", SUMPRODUCT(('Matriz Criterios'!$H$7:$V$7="X")*ISNUMBER('Registro Notas'!$D11:$R11)*'Registro Notas'!$D11:$R11)/SUMPRODUCT(('Matriz Criterios'!$H$7:$V$7="X")*ISNUMBER('Registro Notas'!$D11:$R11)))</f>
        <v/>
      </c>
      <c r="E11" s="39">
        <f>IF(SUMPRODUCT(('Matriz Criterios'!$H$8:$V$8="X")*ISNUMBER('Registro Notas'!$D11:$R11))=0, "-", SUMPRODUCT(('Matriz Criterios'!$H$8:$V$8="X")*ISNUMBER('Registro Notas'!$D11:$R11)*'Registro Notas'!$D11:$R11)/SUMPRODUCT(('Matriz Criterios'!$H$8:$V$8="X")*ISNUMBER('Registro Notas'!$D11:$R11)))</f>
        <v/>
      </c>
      <c r="F11" s="39">
        <f>IF(SUMPRODUCT(('Matriz Criterios'!$H$9:$V$9="X")*ISNUMBER('Registro Notas'!$D11:$R11))=0, "-", SUMPRODUCT(('Matriz Criterios'!$H$9:$V$9="X")*ISNUMBER('Registro Notas'!$D11:$R11)*'Registro Notas'!$D11:$R11)/SUMPRODUCT(('Matriz Criterios'!$H$9:$V$9="X")*ISNUMBER('Registro Notas'!$D11:$R11)))</f>
        <v/>
      </c>
      <c r="G11" s="39">
        <f>IF(SUMPRODUCT(('Matriz Criterios'!$H$10:$V$10="X")*ISNUMBER('Registro Notas'!$D11:$R11))=0, "-", SUMPRODUCT(('Matriz Criterios'!$H$10:$V$10="X")*ISNUMBER('Registro Notas'!$D11:$R11)*'Registro Notas'!$D11:$R11)/SUMPRODUCT(('Matriz Criterios'!$H$10:$V$10="X")*ISNUMBER('Registro Notas'!$D11:$R11)))</f>
        <v/>
      </c>
      <c r="H11" s="39">
        <f>IF(SUMPRODUCT(('Matriz Criterios'!$H$11:$V$11="X")*ISNUMBER('Registro Notas'!$D11:$R11))=0, "-", SUMPRODUCT(('Matriz Criterios'!$H$11:$V$11="X")*ISNUMBER('Registro Notas'!$D11:$R11)*'Registro Notas'!$D11:$R11)/SUMPRODUCT(('Matriz Criterios'!$H$11:$V$11="X")*ISNUMBER('Registro Notas'!$D11:$R11)))</f>
        <v/>
      </c>
      <c r="I11" s="39">
        <f>IF(SUMPRODUCT(('Matriz Criterios'!$H$12:$V$12="X")*ISNUMBER('Registro Notas'!$D11:$R11))=0, "-", SUMPRODUCT(('Matriz Criterios'!$H$12:$V$12="X")*ISNUMBER('Registro Notas'!$D11:$R11)*'Registro Notas'!$D11:$R11)/SUMPRODUCT(('Matriz Criterios'!$H$12:$V$12="X")*ISNUMBER('Registro Notas'!$D11:$R11)))</f>
        <v/>
      </c>
      <c r="J11" s="39">
        <f>IF(SUMPRODUCT(('Matriz Criterios'!$H$13:$V$13="X")*ISNUMBER('Registro Notas'!$D11:$R11))=0, "-", SUMPRODUCT(('Matriz Criterios'!$H$13:$V$13="X")*ISNUMBER('Registro Notas'!$D11:$R11)*'Registro Notas'!$D11:$R11)/SUMPRODUCT(('Matriz Criterios'!$H$13:$V$13="X")*ISNUMBER('Registro Notas'!$D11:$R11)))</f>
        <v/>
      </c>
      <c r="K11" s="39">
        <f>IF(SUMPRODUCT(('Matriz Criterios'!$H$14:$V$14="X")*ISNUMBER('Registro Notas'!$D11:$R11))=0, "-", SUMPRODUCT(('Matriz Criterios'!$H$14:$V$14="X")*ISNUMBER('Registro Notas'!$D11:$R11)*'Registro Notas'!$D11:$R11)/SUMPRODUCT(('Matriz Criterios'!$H$14:$V$14="X")*ISNUMBER('Registro Notas'!$D11:$R11)))</f>
        <v/>
      </c>
      <c r="L11" s="39">
        <f>IF(SUMPRODUCT(('Matriz Criterios'!$H$15:$V$15="X")*ISNUMBER('Registro Notas'!$D11:$R11))=0, "-", SUMPRODUCT(('Matriz Criterios'!$H$15:$V$15="X")*ISNUMBER('Registro Notas'!$D11:$R11)*'Registro Notas'!$D11:$R11)/SUMPRODUCT(('Matriz Criterios'!$H$15:$V$15="X")*ISNUMBER('Registro Notas'!$D11:$R11)))</f>
        <v/>
      </c>
      <c r="M11" s="39">
        <f>IF(SUMPRODUCT(('Matriz Criterios'!$H$16:$V$16="X")*ISNUMBER('Registro Notas'!$D11:$R11))=0, "-", SUMPRODUCT(('Matriz Criterios'!$H$16:$V$16="X")*ISNUMBER('Registro Notas'!$D11:$R11)*'Registro Notas'!$D11:$R11)/SUMPRODUCT(('Matriz Criterios'!$H$16:$V$16="X")*ISNUMBER('Registro Notas'!$D11:$R11)))</f>
        <v/>
      </c>
      <c r="N11" s="39">
        <f>IF(SUMPRODUCT(('Matriz Criterios'!$H$17:$V$17="X")*ISNUMBER('Registro Notas'!$D11:$R11))=0, "-", SUMPRODUCT(('Matriz Criterios'!$H$17:$V$17="X")*ISNUMBER('Registro Notas'!$D11:$R11)*'Registro Notas'!$D11:$R11)/SUMPRODUCT(('Matriz Criterios'!$H$17:$V$17="X")*ISNUMBER('Registro Notas'!$D11:$R11)))</f>
        <v/>
      </c>
      <c r="O11" s="39">
        <f>IF(SUMPRODUCT(('Matriz Criterios'!$H$18:$V$18="X")*ISNUMBER('Registro Notas'!$D11:$R11))=0, "-", SUMPRODUCT(('Matriz Criterios'!$H$18:$V$18="X")*ISNUMBER('Registro Notas'!$D11:$R11)*'Registro Notas'!$D11:$R11)/SUMPRODUCT(('Matriz Criterios'!$H$18:$V$18="X")*ISNUMBER('Registro Notas'!$D11:$R11)))</f>
        <v/>
      </c>
      <c r="P11" s="39">
        <f>IF(SUMPRODUCT(('Matriz Criterios'!$H$19:$V$19="X")*ISNUMBER('Registro Notas'!$D11:$R11))=0, "-", SUMPRODUCT(('Matriz Criterios'!$H$19:$V$19="X")*ISNUMBER('Registro Notas'!$D11:$R11)*'Registro Notas'!$D11:$R11)/SUMPRODUCT(('Matriz Criterios'!$H$19:$V$19="X")*ISNUMBER('Registro Notas'!$D11:$R11)))</f>
        <v/>
      </c>
      <c r="Q11" s="39">
        <f>IF(SUMPRODUCT(('Matriz Criterios'!$H$20:$V$20="X")*ISNUMBER('Registro Notas'!$D11:$R11))=0, "-", SUMPRODUCT(('Matriz Criterios'!$H$20:$V$20="X")*ISNUMBER('Registro Notas'!$D11:$R11)*'Registro Notas'!$D11:$R11)/SUMPRODUCT(('Matriz Criterios'!$H$20:$V$20="X")*ISNUMBER('Registro Notas'!$D11:$R11)))</f>
        <v/>
      </c>
      <c r="R11" s="39">
        <f>IF(SUMPRODUCT(('Matriz Criterios'!$H$21:$V$21="X")*ISNUMBER('Registro Notas'!$D11:$R11))=0, "-", SUMPRODUCT(('Matriz Criterios'!$H$21:$V$21="X")*ISNUMBER('Registro Notas'!$D11:$R11)*'Registro Notas'!$D11:$R11)/SUMPRODUCT(('Matriz Criterios'!$H$21:$V$21="X")*ISNUMBER('Registro Notas'!$D11:$R11)))</f>
        <v/>
      </c>
      <c r="S11" s="39">
        <f>IF(SUMPRODUCT(('Matriz Criterios'!$H$22:$V$22="X")*ISNUMBER('Registro Notas'!$D11:$R11))=0, "-", SUMPRODUCT(('Matriz Criterios'!$H$22:$V$22="X")*ISNUMBER('Registro Notas'!$D11:$R11)*'Registro Notas'!$D11:$R11)/SUMPRODUCT(('Matriz Criterios'!$H$22:$V$22="X")*ISNUMBER('Registro Notas'!$D11:$R11)))</f>
        <v/>
      </c>
      <c r="T11" s="39">
        <f>IF(SUMPRODUCT(('Matriz Criterios'!$H$23:$V$23="X")*ISNUMBER('Registro Notas'!$D11:$R11))=0, "-", SUMPRODUCT(('Matriz Criterios'!$H$23:$V$23="X")*ISNUMBER('Registro Notas'!$D11:$R11)*'Registro Notas'!$D11:$R11)/SUMPRODUCT(('Matriz Criterios'!$H$23:$V$23="X")*ISNUMBER('Registro Notas'!$D11:$R11)))</f>
        <v/>
      </c>
      <c r="U11" s="39">
        <f>IF(SUMPRODUCT(('Matriz Criterios'!$H$24:$V$24="X")*ISNUMBER('Registro Notas'!$D11:$R11))=0, "-", SUMPRODUCT(('Matriz Criterios'!$H$24:$V$24="X")*ISNUMBER('Registro Notas'!$D11:$R11)*'Registro Notas'!$D11:$R11)/SUMPRODUCT(('Matriz Criterios'!$H$24:$V$24="X")*ISNUMBER('Registro Notas'!$D11:$R11)))</f>
        <v/>
      </c>
      <c r="V11" s="39">
        <f>IF(SUMPRODUCT(('Matriz Criterios'!$H$25:$V$25="X")*ISNUMBER('Registro Notas'!$D11:$R11))=0, "-", SUMPRODUCT(('Matriz Criterios'!$H$25:$V$25="X")*ISNUMBER('Registro Notas'!$D11:$R11)*'Registro Notas'!$D11:$R11)/SUMPRODUCT(('Matriz Criterios'!$H$25:$V$25="X")*ISNUMBER('Registro Notas'!$D11:$R11)))</f>
        <v/>
      </c>
      <c r="W11" s="39">
        <f>IF(SUMPRODUCT(('Matriz Criterios'!$H$26:$V$26="X")*ISNUMBER('Registro Notas'!$D11:$R11))=0, "-", SUMPRODUCT(('Matriz Criterios'!$H$26:$V$26="X")*ISNUMBER('Registro Notas'!$D11:$R11)*'Registro Notas'!$D11:$R11)/SUMPRODUCT(('Matriz Criterios'!$H$26:$V$26="X")*ISNUMBER('Registro Notas'!$D11:$R11)))</f>
        <v/>
      </c>
      <c r="X11" s="39">
        <f>IF(SUMPRODUCT(('Matriz Criterios'!$H$27:$V$27="X")*ISNUMBER('Registro Notas'!$D11:$R11))=0, "-", SUMPRODUCT(('Matriz Criterios'!$H$27:$V$27="X")*ISNUMBER('Registro Notas'!$D11:$R11)*'Registro Notas'!$D11:$R11)/SUMPRODUCT(('Matriz Criterios'!$H$27:$V$27="X")*ISNUMBER('Registro Notas'!$D11:$R11)))</f>
        <v/>
      </c>
      <c r="Y11" s="39">
        <f>IF(SUMPRODUCT(('Matriz Criterios'!$H$28:$V$28="X")*ISNUMBER('Registro Notas'!$D11:$R11))=0, "-", SUMPRODUCT(('Matriz Criterios'!$H$28:$V$28="X")*ISNUMBER('Registro Notas'!$D11:$R11)*'Registro Notas'!$D11:$R11)/SUMPRODUCT(('Matriz Criterios'!$H$28:$V$28="X")*ISNUMBER('Registro Notas'!$D11:$R11)))</f>
        <v/>
      </c>
      <c r="Z11" s="39">
        <f>IF(SUMPRODUCT(('Matriz Criterios'!$H$29:$V$29="X")*ISNUMBER('Registro Notas'!$D11:$R11))=0, "-", SUMPRODUCT(('Matriz Criterios'!$H$29:$V$29="X")*ISNUMBER('Registro Notas'!$D11:$R11)*'Registro Notas'!$D11:$R11)/SUMPRODUCT(('Matriz Criterios'!$H$29:$V$29="X")*ISNUMBER('Registro Notas'!$D11:$R11)))</f>
        <v/>
      </c>
      <c r="AA11" s="39">
        <f>IF(SUMPRODUCT(('Matriz Criterios'!$H$30:$V$30="X")*ISNUMBER('Registro Notas'!$D11:$R11))=0, "-", SUMPRODUCT(('Matriz Criterios'!$H$30:$V$30="X")*ISNUMBER('Registro Notas'!$D11:$R11)*'Registro Notas'!$D11:$R11)/SUMPRODUCT(('Matriz Criterios'!$H$30:$V$30="X")*ISNUMBER('Registro Notas'!$D11:$R11)))</f>
        <v/>
      </c>
      <c r="AB11" s="39">
        <f>IF(SUMPRODUCT(('Matriz Criterios'!$H$31:$V$31="X")*ISNUMBER('Registro Notas'!$D11:$R11))=0, "-", SUMPRODUCT(('Matriz Criterios'!$H$31:$V$31="X")*ISNUMBER('Registro Notas'!$D11:$R11)*'Registro Notas'!$D11:$R11)/SUMPRODUCT(('Matriz Criterios'!$H$31:$V$31="X")*ISNUMBER('Registro Notas'!$D11:$R11)))</f>
        <v/>
      </c>
      <c r="AC11" s="39">
        <f>IF(SUMPRODUCT(('Matriz Criterios'!$H$32:$V$32="X")*ISNUMBER('Registro Notas'!$D11:$R11))=0, "-", SUMPRODUCT(('Matriz Criterios'!$H$32:$V$32="X")*ISNUMBER('Registro Notas'!$D11:$R11)*'Registro Notas'!$D11:$R11)/SUMPRODUCT(('Matriz Criterios'!$H$32:$V$32="X")*ISNUMBER('Registro Notas'!$D11:$R11)))</f>
        <v/>
      </c>
      <c r="AD11" s="39">
        <f>IF(SUMPRODUCT(('Matriz Criterios'!$H$33:$V$33="X")*ISNUMBER('Registro Notas'!$D11:$R11))=0, "-", SUMPRODUCT(('Matriz Criterios'!$H$33:$V$33="X")*ISNUMBER('Registro Notas'!$D11:$R11)*'Registro Notas'!$D11:$R11)/SUMPRODUCT(('Matriz Criterios'!$H$33:$V$33="X")*ISNUMBER('Registro Notas'!$D11:$R11)))</f>
        <v/>
      </c>
      <c r="AE11" s="39">
        <f>IF(SUMPRODUCT(('Matriz Criterios'!$H$34:$V$34="X")*ISNUMBER('Registro Notas'!$D11:$R11))=0, "-", SUMPRODUCT(('Matriz Criterios'!$H$34:$V$34="X")*ISNUMBER('Registro Notas'!$D11:$R11)*'Registro Notas'!$D11:$R11)/SUMPRODUCT(('Matriz Criterios'!$H$34:$V$34="X")*ISNUMBER('Registro Notas'!$D11:$R11)))</f>
        <v/>
      </c>
      <c r="AF11" s="39">
        <f>IF(SUMPRODUCT(('Matriz Criterios'!$H$35:$V$35="X")*ISNUMBER('Registro Notas'!$D11:$R11))=0, "-", SUMPRODUCT(('Matriz Criterios'!$H$35:$V$35="X")*ISNUMBER('Registro Notas'!$D11:$R11)*'Registro Notas'!$D11:$R11)/SUMPRODUCT(('Matriz Criterios'!$H$35:$V$35="X")*ISNUMBER('Registro Notas'!$D11:$R11)))</f>
        <v/>
      </c>
      <c r="AG11" s="39">
        <f>IF(SUMPRODUCT(('Matriz Criterios'!$H$36:$V$36="X")*ISNUMBER('Registro Notas'!$D11:$R11))=0, "-", SUMPRODUCT(('Matriz Criterios'!$H$36:$V$36="X")*ISNUMBER('Registro Notas'!$D11:$R11)*'Registro Notas'!$D11:$R11)/SUMPRODUCT(('Matriz Criterios'!$H$36:$V$36="X")*ISNUMBER('Registro Notas'!$D11:$R11)))</f>
        <v/>
      </c>
      <c r="AH11" s="39">
        <f>IF(SUMPRODUCT(('Matriz Criterios'!$H$37:$V$37="X")*ISNUMBER('Registro Notas'!$D11:$R11))=0, "-", SUMPRODUCT(('Matriz Criterios'!$H$37:$V$37="X")*ISNUMBER('Registro Notas'!$D11:$R11)*'Registro Notas'!$D11:$R11)/SUMPRODUCT(('Matriz Criterios'!$H$37:$V$37="X")*ISNUMBER('Registro Notas'!$D11:$R11)))</f>
        <v/>
      </c>
      <c r="AI11" s="39">
        <f>IF(SUMPRODUCT(('Matriz Criterios'!$H$38:$V$38="X")*ISNUMBER('Registro Notas'!$D11:$R11))=0, "-", SUMPRODUCT(('Matriz Criterios'!$H$38:$V$38="X")*ISNUMBER('Registro Notas'!$D11:$R11)*'Registro Notas'!$D11:$R11)/SUMPRODUCT(('Matriz Criterios'!$H$38:$V$38="X")*ISNUMBER('Registro Notas'!$D11:$R11)))</f>
        <v/>
      </c>
      <c r="AJ11" s="39">
        <f>IF(SUMPRODUCT(('Matriz Criterios'!$H$39:$V$39="X")*ISNUMBER('Registro Notas'!$D11:$R11))=0, "-", SUMPRODUCT(('Matriz Criterios'!$H$39:$V$39="X")*ISNUMBER('Registro Notas'!$D11:$R11)*'Registro Notas'!$D11:$R11)/SUMPRODUCT(('Matriz Criterios'!$H$39:$V$39="X")*ISNUMBER('Registro Notas'!$D11:$R11)))</f>
        <v/>
      </c>
      <c r="AK11" s="39">
        <f>IF(SUMPRODUCT(('Matriz Criterios'!$H$40:$V$40="X")*ISNUMBER('Registro Notas'!$D11:$R11))=0, "-", SUMPRODUCT(('Matriz Criterios'!$H$40:$V$40="X")*ISNUMBER('Registro Notas'!$D11:$R11)*'Registro Notas'!$D11:$R11)/SUMPRODUCT(('Matriz Criterios'!$H$40:$V$40="X")*ISNUMBER('Registro Notas'!$D11:$R11)))</f>
        <v/>
      </c>
      <c r="AL11" s="39">
        <f>IF(SUMPRODUCT(('Matriz Criterios'!$H$41:$V$41="X")*ISNUMBER('Registro Notas'!$D11:$R11))=0, "-", SUMPRODUCT(('Matriz Criterios'!$H$41:$V$41="X")*ISNUMBER('Registro Notas'!$D11:$R11)*'Registro Notas'!$D11:$R11)/SUMPRODUCT(('Matriz Criterios'!$H$41:$V$41="X")*ISNUMBER('Registro Notas'!$D11:$R11)))</f>
        <v/>
      </c>
      <c r="AM11" s="39">
        <f>IF(SUMPRODUCT(('Matriz Criterios'!$H$42:$V$42="X")*ISNUMBER('Registro Notas'!$D11:$R11))=0, "-", SUMPRODUCT(('Matriz Criterios'!$H$42:$V$42="X")*ISNUMBER('Registro Notas'!$D11:$R11)*'Registro Notas'!$D11:$R11)/SUMPRODUCT(('Matriz Criterios'!$H$42:$V$42="X")*ISNUMBER('Registro Notas'!$D11:$R11)))</f>
        <v/>
      </c>
      <c r="AN11" s="39">
        <f>IF(SUMPRODUCT(('Matriz Criterios'!$H$43:$V$43="X")*ISNUMBER('Registro Notas'!$D11:$R11))=0, "-", SUMPRODUCT(('Matriz Criterios'!$H$43:$V$43="X")*ISNUMBER('Registro Notas'!$D11:$R11)*'Registro Notas'!$D11:$R11)/SUMPRODUCT(('Matriz Criterios'!$H$43:$V$43="X")*ISNUMBER('Registro Notas'!$D11:$R11)))</f>
        <v/>
      </c>
      <c r="AO11" s="39">
        <f>IF(SUMPRODUCT(('Matriz Criterios'!$H$44:$V$44="X")*ISNUMBER('Registro Notas'!$D11:$R11))=0, "-", SUMPRODUCT(('Matriz Criterios'!$H$44:$V$44="X")*ISNUMBER('Registro Notas'!$D11:$R11)*'Registro Notas'!$D11:$R11)/SUMPRODUCT(('Matriz Criterios'!$H$44:$V$44="X")*ISNUMBER('Registro Notas'!$D11:$R11)))</f>
        <v/>
      </c>
      <c r="AP11" s="39">
        <f>IF(SUMPRODUCT(('Matriz Criterios'!$H$45:$V$45="X")*ISNUMBER('Registro Notas'!$D11:$R11))=0, "-", SUMPRODUCT(('Matriz Criterios'!$H$45:$V$45="X")*ISNUMBER('Registro Notas'!$D11:$R11)*'Registro Notas'!$D11:$R11)/SUMPRODUCT(('Matriz Criterios'!$H$45:$V$45="X")*ISNUMBER('Registro Notas'!$D11:$R11)))</f>
        <v/>
      </c>
      <c r="AQ11" s="39">
        <f>IF(SUMPRODUCT(('Matriz Criterios'!$H$46:$V$46="X")*ISNUMBER('Registro Notas'!$D11:$R11))=0, "-", SUMPRODUCT(('Matriz Criterios'!$H$46:$V$46="X")*ISNUMBER('Registro Notas'!$D11:$R11)*'Registro Notas'!$D11:$R11)/SUMPRODUCT(('Matriz Criterios'!$H$46:$V$46="X")*ISNUMBER('Registro Notas'!$D11:$R11)))</f>
        <v/>
      </c>
      <c r="AR11" s="39">
        <f>IF(SUMPRODUCT(('Matriz Criterios'!$H$47:$V$47="X")*ISNUMBER('Registro Notas'!$D11:$R11))=0, "-", SUMPRODUCT(('Matriz Criterios'!$H$47:$V$47="X")*ISNUMBER('Registro Notas'!$D11:$R11)*'Registro Notas'!$D11:$R11)/SUMPRODUCT(('Matriz Criterios'!$H$47:$V$47="X")*ISNUMBER('Registro Notas'!$D11:$R11)))</f>
        <v/>
      </c>
      <c r="AS11" s="39">
        <f>IF(SUMPRODUCT(('Matriz Criterios'!$H$48:$V$48="X")*ISNUMBER('Registro Notas'!$D11:$R11))=0, "-", SUMPRODUCT(('Matriz Criterios'!$H$48:$V$48="X")*ISNUMBER('Registro Notas'!$D11:$R11)*'Registro Notas'!$D11:$R11)/SUMPRODUCT(('Matriz Criterios'!$H$48:$V$48="X")*ISNUMBER('Registro Notas'!$D11:$R11)))</f>
        <v/>
      </c>
      <c r="AT11" s="39">
        <f>IF(SUMPRODUCT(('Matriz Criterios'!$H$49:$V$49="X")*ISNUMBER('Registro Notas'!$D11:$R11))=0, "-", SUMPRODUCT(('Matriz Criterios'!$H$49:$V$49="X")*ISNUMBER('Registro Notas'!$D11:$R11)*'Registro Notas'!$D11:$R11)/SUMPRODUCT(('Matriz Criterios'!$H$49:$V$49="X")*ISNUMBER('Registro Notas'!$D11:$R11)))</f>
        <v/>
      </c>
      <c r="AU11" s="39">
        <f>IF(SUMPRODUCT(('Matriz Criterios'!$H$50:$V$50="X")*ISNUMBER('Registro Notas'!$D11:$R11))=0, "-", SUMPRODUCT(('Matriz Criterios'!$H$50:$V$50="X")*ISNUMBER('Registro Notas'!$D11:$R11)*'Registro Notas'!$D11:$R11)/SUMPRODUCT(('Matriz Criterios'!$H$50:$V$50="X")*ISNUMBER('Registro Notas'!$D11:$R11)))</f>
        <v/>
      </c>
      <c r="AV11" s="50">
        <f>AVERAGE(C11:AU11)</f>
        <v/>
      </c>
      <c r="AW11" s="51">
        <f>COUNTIF(C11:AU11, "&gt;=5")</f>
        <v/>
      </c>
    </row>
    <row r="12" ht="20" customHeight="1">
      <c r="A12" s="13" t="n">
        <v>7</v>
      </c>
      <c r="B12" s="34" t="inlineStr">
        <is>
          <t>Herrera Cruz, Marta</t>
        </is>
      </c>
      <c r="C12" s="35">
        <f>IF(SUMPRODUCT(('Matriz Criterios'!$H$6:$V$6="X")*ISNUMBER('Registro Notas'!$D12:$R12))=0, "-", SUMPRODUCT(('Matriz Criterios'!$H$6:$V$6="X")*ISNUMBER('Registro Notas'!$D12:$R12)*'Registro Notas'!$D12:$R12)/SUMPRODUCT(('Matriz Criterios'!$H$6:$V$6="X")*ISNUMBER('Registro Notas'!$D12:$R12)))</f>
        <v/>
      </c>
      <c r="D12" s="35">
        <f>IF(SUMPRODUCT(('Matriz Criterios'!$H$7:$V$7="X")*ISNUMBER('Registro Notas'!$D12:$R12))=0, "-", SUMPRODUCT(('Matriz Criterios'!$H$7:$V$7="X")*ISNUMBER('Registro Notas'!$D12:$R12)*'Registro Notas'!$D12:$R12)/SUMPRODUCT(('Matriz Criterios'!$H$7:$V$7="X")*ISNUMBER('Registro Notas'!$D12:$R12)))</f>
        <v/>
      </c>
      <c r="E12" s="35">
        <f>IF(SUMPRODUCT(('Matriz Criterios'!$H$8:$V$8="X")*ISNUMBER('Registro Notas'!$D12:$R12))=0, "-", SUMPRODUCT(('Matriz Criterios'!$H$8:$V$8="X")*ISNUMBER('Registro Notas'!$D12:$R12)*'Registro Notas'!$D12:$R12)/SUMPRODUCT(('Matriz Criterios'!$H$8:$V$8="X")*ISNUMBER('Registro Notas'!$D12:$R12)))</f>
        <v/>
      </c>
      <c r="F12" s="35">
        <f>IF(SUMPRODUCT(('Matriz Criterios'!$H$9:$V$9="X")*ISNUMBER('Registro Notas'!$D12:$R12))=0, "-", SUMPRODUCT(('Matriz Criterios'!$H$9:$V$9="X")*ISNUMBER('Registro Notas'!$D12:$R12)*'Registro Notas'!$D12:$R12)/SUMPRODUCT(('Matriz Criterios'!$H$9:$V$9="X")*ISNUMBER('Registro Notas'!$D12:$R12)))</f>
        <v/>
      </c>
      <c r="G12" s="35">
        <f>IF(SUMPRODUCT(('Matriz Criterios'!$H$10:$V$10="X")*ISNUMBER('Registro Notas'!$D12:$R12))=0, "-", SUMPRODUCT(('Matriz Criterios'!$H$10:$V$10="X")*ISNUMBER('Registro Notas'!$D12:$R12)*'Registro Notas'!$D12:$R12)/SUMPRODUCT(('Matriz Criterios'!$H$10:$V$10="X")*ISNUMBER('Registro Notas'!$D12:$R12)))</f>
        <v/>
      </c>
      <c r="H12" s="35">
        <f>IF(SUMPRODUCT(('Matriz Criterios'!$H$11:$V$11="X")*ISNUMBER('Registro Notas'!$D12:$R12))=0, "-", SUMPRODUCT(('Matriz Criterios'!$H$11:$V$11="X")*ISNUMBER('Registro Notas'!$D12:$R12)*'Registro Notas'!$D12:$R12)/SUMPRODUCT(('Matriz Criterios'!$H$11:$V$11="X")*ISNUMBER('Registro Notas'!$D12:$R12)))</f>
        <v/>
      </c>
      <c r="I12" s="35">
        <f>IF(SUMPRODUCT(('Matriz Criterios'!$H$12:$V$12="X")*ISNUMBER('Registro Notas'!$D12:$R12))=0, "-", SUMPRODUCT(('Matriz Criterios'!$H$12:$V$12="X")*ISNUMBER('Registro Notas'!$D12:$R12)*'Registro Notas'!$D12:$R12)/SUMPRODUCT(('Matriz Criterios'!$H$12:$V$12="X")*ISNUMBER('Registro Notas'!$D12:$R12)))</f>
        <v/>
      </c>
      <c r="J12" s="35">
        <f>IF(SUMPRODUCT(('Matriz Criterios'!$H$13:$V$13="X")*ISNUMBER('Registro Notas'!$D12:$R12))=0, "-", SUMPRODUCT(('Matriz Criterios'!$H$13:$V$13="X")*ISNUMBER('Registro Notas'!$D12:$R12)*'Registro Notas'!$D12:$R12)/SUMPRODUCT(('Matriz Criterios'!$H$13:$V$13="X")*ISNUMBER('Registro Notas'!$D12:$R12)))</f>
        <v/>
      </c>
      <c r="K12" s="35">
        <f>IF(SUMPRODUCT(('Matriz Criterios'!$H$14:$V$14="X")*ISNUMBER('Registro Notas'!$D12:$R12))=0, "-", SUMPRODUCT(('Matriz Criterios'!$H$14:$V$14="X")*ISNUMBER('Registro Notas'!$D12:$R12)*'Registro Notas'!$D12:$R12)/SUMPRODUCT(('Matriz Criterios'!$H$14:$V$14="X")*ISNUMBER('Registro Notas'!$D12:$R12)))</f>
        <v/>
      </c>
      <c r="L12" s="35">
        <f>IF(SUMPRODUCT(('Matriz Criterios'!$H$15:$V$15="X")*ISNUMBER('Registro Notas'!$D12:$R12))=0, "-", SUMPRODUCT(('Matriz Criterios'!$H$15:$V$15="X")*ISNUMBER('Registro Notas'!$D12:$R12)*'Registro Notas'!$D12:$R12)/SUMPRODUCT(('Matriz Criterios'!$H$15:$V$15="X")*ISNUMBER('Registro Notas'!$D12:$R12)))</f>
        <v/>
      </c>
      <c r="M12" s="35">
        <f>IF(SUMPRODUCT(('Matriz Criterios'!$H$16:$V$16="X")*ISNUMBER('Registro Notas'!$D12:$R12))=0, "-", SUMPRODUCT(('Matriz Criterios'!$H$16:$V$16="X")*ISNUMBER('Registro Notas'!$D12:$R12)*'Registro Notas'!$D12:$R12)/SUMPRODUCT(('Matriz Criterios'!$H$16:$V$16="X")*ISNUMBER('Registro Notas'!$D12:$R12)))</f>
        <v/>
      </c>
      <c r="N12" s="35">
        <f>IF(SUMPRODUCT(('Matriz Criterios'!$H$17:$V$17="X")*ISNUMBER('Registro Notas'!$D12:$R12))=0, "-", SUMPRODUCT(('Matriz Criterios'!$H$17:$V$17="X")*ISNUMBER('Registro Notas'!$D12:$R12)*'Registro Notas'!$D12:$R12)/SUMPRODUCT(('Matriz Criterios'!$H$17:$V$17="X")*ISNUMBER('Registro Notas'!$D12:$R12)))</f>
        <v/>
      </c>
      <c r="O12" s="35">
        <f>IF(SUMPRODUCT(('Matriz Criterios'!$H$18:$V$18="X")*ISNUMBER('Registro Notas'!$D12:$R12))=0, "-", SUMPRODUCT(('Matriz Criterios'!$H$18:$V$18="X")*ISNUMBER('Registro Notas'!$D12:$R12)*'Registro Notas'!$D12:$R12)/SUMPRODUCT(('Matriz Criterios'!$H$18:$V$18="X")*ISNUMBER('Registro Notas'!$D12:$R12)))</f>
        <v/>
      </c>
      <c r="P12" s="35">
        <f>IF(SUMPRODUCT(('Matriz Criterios'!$H$19:$V$19="X")*ISNUMBER('Registro Notas'!$D12:$R12))=0, "-", SUMPRODUCT(('Matriz Criterios'!$H$19:$V$19="X")*ISNUMBER('Registro Notas'!$D12:$R12)*'Registro Notas'!$D12:$R12)/SUMPRODUCT(('Matriz Criterios'!$H$19:$V$19="X")*ISNUMBER('Registro Notas'!$D12:$R12)))</f>
        <v/>
      </c>
      <c r="Q12" s="35">
        <f>IF(SUMPRODUCT(('Matriz Criterios'!$H$20:$V$20="X")*ISNUMBER('Registro Notas'!$D12:$R12))=0, "-", SUMPRODUCT(('Matriz Criterios'!$H$20:$V$20="X")*ISNUMBER('Registro Notas'!$D12:$R12)*'Registro Notas'!$D12:$R12)/SUMPRODUCT(('Matriz Criterios'!$H$20:$V$20="X")*ISNUMBER('Registro Notas'!$D12:$R12)))</f>
        <v/>
      </c>
      <c r="R12" s="35">
        <f>IF(SUMPRODUCT(('Matriz Criterios'!$H$21:$V$21="X")*ISNUMBER('Registro Notas'!$D12:$R12))=0, "-", SUMPRODUCT(('Matriz Criterios'!$H$21:$V$21="X")*ISNUMBER('Registro Notas'!$D12:$R12)*'Registro Notas'!$D12:$R12)/SUMPRODUCT(('Matriz Criterios'!$H$21:$V$21="X")*ISNUMBER('Registro Notas'!$D12:$R12)))</f>
        <v/>
      </c>
      <c r="S12" s="35">
        <f>IF(SUMPRODUCT(('Matriz Criterios'!$H$22:$V$22="X")*ISNUMBER('Registro Notas'!$D12:$R12))=0, "-", SUMPRODUCT(('Matriz Criterios'!$H$22:$V$22="X")*ISNUMBER('Registro Notas'!$D12:$R12)*'Registro Notas'!$D12:$R12)/SUMPRODUCT(('Matriz Criterios'!$H$22:$V$22="X")*ISNUMBER('Registro Notas'!$D12:$R12)))</f>
        <v/>
      </c>
      <c r="T12" s="35">
        <f>IF(SUMPRODUCT(('Matriz Criterios'!$H$23:$V$23="X")*ISNUMBER('Registro Notas'!$D12:$R12))=0, "-", SUMPRODUCT(('Matriz Criterios'!$H$23:$V$23="X")*ISNUMBER('Registro Notas'!$D12:$R12)*'Registro Notas'!$D12:$R12)/SUMPRODUCT(('Matriz Criterios'!$H$23:$V$23="X")*ISNUMBER('Registro Notas'!$D12:$R12)))</f>
        <v/>
      </c>
      <c r="U12" s="35">
        <f>IF(SUMPRODUCT(('Matriz Criterios'!$H$24:$V$24="X")*ISNUMBER('Registro Notas'!$D12:$R12))=0, "-", SUMPRODUCT(('Matriz Criterios'!$H$24:$V$24="X")*ISNUMBER('Registro Notas'!$D12:$R12)*'Registro Notas'!$D12:$R12)/SUMPRODUCT(('Matriz Criterios'!$H$24:$V$24="X")*ISNUMBER('Registro Notas'!$D12:$R12)))</f>
        <v/>
      </c>
      <c r="V12" s="35">
        <f>IF(SUMPRODUCT(('Matriz Criterios'!$H$25:$V$25="X")*ISNUMBER('Registro Notas'!$D12:$R12))=0, "-", SUMPRODUCT(('Matriz Criterios'!$H$25:$V$25="X")*ISNUMBER('Registro Notas'!$D12:$R12)*'Registro Notas'!$D12:$R12)/SUMPRODUCT(('Matriz Criterios'!$H$25:$V$25="X")*ISNUMBER('Registro Notas'!$D12:$R12)))</f>
        <v/>
      </c>
      <c r="W12" s="35">
        <f>IF(SUMPRODUCT(('Matriz Criterios'!$H$26:$V$26="X")*ISNUMBER('Registro Notas'!$D12:$R12))=0, "-", SUMPRODUCT(('Matriz Criterios'!$H$26:$V$26="X")*ISNUMBER('Registro Notas'!$D12:$R12)*'Registro Notas'!$D12:$R12)/SUMPRODUCT(('Matriz Criterios'!$H$26:$V$26="X")*ISNUMBER('Registro Notas'!$D12:$R12)))</f>
        <v/>
      </c>
      <c r="X12" s="35">
        <f>IF(SUMPRODUCT(('Matriz Criterios'!$H$27:$V$27="X")*ISNUMBER('Registro Notas'!$D12:$R12))=0, "-", SUMPRODUCT(('Matriz Criterios'!$H$27:$V$27="X")*ISNUMBER('Registro Notas'!$D12:$R12)*'Registro Notas'!$D12:$R12)/SUMPRODUCT(('Matriz Criterios'!$H$27:$V$27="X")*ISNUMBER('Registro Notas'!$D12:$R12)))</f>
        <v/>
      </c>
      <c r="Y12" s="35">
        <f>IF(SUMPRODUCT(('Matriz Criterios'!$H$28:$V$28="X")*ISNUMBER('Registro Notas'!$D12:$R12))=0, "-", SUMPRODUCT(('Matriz Criterios'!$H$28:$V$28="X")*ISNUMBER('Registro Notas'!$D12:$R12)*'Registro Notas'!$D12:$R12)/SUMPRODUCT(('Matriz Criterios'!$H$28:$V$28="X")*ISNUMBER('Registro Notas'!$D12:$R12)))</f>
        <v/>
      </c>
      <c r="Z12" s="35">
        <f>IF(SUMPRODUCT(('Matriz Criterios'!$H$29:$V$29="X")*ISNUMBER('Registro Notas'!$D12:$R12))=0, "-", SUMPRODUCT(('Matriz Criterios'!$H$29:$V$29="X")*ISNUMBER('Registro Notas'!$D12:$R12)*'Registro Notas'!$D12:$R12)/SUMPRODUCT(('Matriz Criterios'!$H$29:$V$29="X")*ISNUMBER('Registro Notas'!$D12:$R12)))</f>
        <v/>
      </c>
      <c r="AA12" s="35">
        <f>IF(SUMPRODUCT(('Matriz Criterios'!$H$30:$V$30="X")*ISNUMBER('Registro Notas'!$D12:$R12))=0, "-", SUMPRODUCT(('Matriz Criterios'!$H$30:$V$30="X")*ISNUMBER('Registro Notas'!$D12:$R12)*'Registro Notas'!$D12:$R12)/SUMPRODUCT(('Matriz Criterios'!$H$30:$V$30="X")*ISNUMBER('Registro Notas'!$D12:$R12)))</f>
        <v/>
      </c>
      <c r="AB12" s="35">
        <f>IF(SUMPRODUCT(('Matriz Criterios'!$H$31:$V$31="X")*ISNUMBER('Registro Notas'!$D12:$R12))=0, "-", SUMPRODUCT(('Matriz Criterios'!$H$31:$V$31="X")*ISNUMBER('Registro Notas'!$D12:$R12)*'Registro Notas'!$D12:$R12)/SUMPRODUCT(('Matriz Criterios'!$H$31:$V$31="X")*ISNUMBER('Registro Notas'!$D12:$R12)))</f>
        <v/>
      </c>
      <c r="AC12" s="35">
        <f>IF(SUMPRODUCT(('Matriz Criterios'!$H$32:$V$32="X")*ISNUMBER('Registro Notas'!$D12:$R12))=0, "-", SUMPRODUCT(('Matriz Criterios'!$H$32:$V$32="X")*ISNUMBER('Registro Notas'!$D12:$R12)*'Registro Notas'!$D12:$R12)/SUMPRODUCT(('Matriz Criterios'!$H$32:$V$32="X")*ISNUMBER('Registro Notas'!$D12:$R12)))</f>
        <v/>
      </c>
      <c r="AD12" s="35">
        <f>IF(SUMPRODUCT(('Matriz Criterios'!$H$33:$V$33="X")*ISNUMBER('Registro Notas'!$D12:$R12))=0, "-", SUMPRODUCT(('Matriz Criterios'!$H$33:$V$33="X")*ISNUMBER('Registro Notas'!$D12:$R12)*'Registro Notas'!$D12:$R12)/SUMPRODUCT(('Matriz Criterios'!$H$33:$V$33="X")*ISNUMBER('Registro Notas'!$D12:$R12)))</f>
        <v/>
      </c>
      <c r="AE12" s="35">
        <f>IF(SUMPRODUCT(('Matriz Criterios'!$H$34:$V$34="X")*ISNUMBER('Registro Notas'!$D12:$R12))=0, "-", SUMPRODUCT(('Matriz Criterios'!$H$34:$V$34="X")*ISNUMBER('Registro Notas'!$D12:$R12)*'Registro Notas'!$D12:$R12)/SUMPRODUCT(('Matriz Criterios'!$H$34:$V$34="X")*ISNUMBER('Registro Notas'!$D12:$R12)))</f>
        <v/>
      </c>
      <c r="AF12" s="35">
        <f>IF(SUMPRODUCT(('Matriz Criterios'!$H$35:$V$35="X")*ISNUMBER('Registro Notas'!$D12:$R12))=0, "-", SUMPRODUCT(('Matriz Criterios'!$H$35:$V$35="X")*ISNUMBER('Registro Notas'!$D12:$R12)*'Registro Notas'!$D12:$R12)/SUMPRODUCT(('Matriz Criterios'!$H$35:$V$35="X")*ISNUMBER('Registro Notas'!$D12:$R12)))</f>
        <v/>
      </c>
      <c r="AG12" s="35">
        <f>IF(SUMPRODUCT(('Matriz Criterios'!$H$36:$V$36="X")*ISNUMBER('Registro Notas'!$D12:$R12))=0, "-", SUMPRODUCT(('Matriz Criterios'!$H$36:$V$36="X")*ISNUMBER('Registro Notas'!$D12:$R12)*'Registro Notas'!$D12:$R12)/SUMPRODUCT(('Matriz Criterios'!$H$36:$V$36="X")*ISNUMBER('Registro Notas'!$D12:$R12)))</f>
        <v/>
      </c>
      <c r="AH12" s="35">
        <f>IF(SUMPRODUCT(('Matriz Criterios'!$H$37:$V$37="X")*ISNUMBER('Registro Notas'!$D12:$R12))=0, "-", SUMPRODUCT(('Matriz Criterios'!$H$37:$V$37="X")*ISNUMBER('Registro Notas'!$D12:$R12)*'Registro Notas'!$D12:$R12)/SUMPRODUCT(('Matriz Criterios'!$H$37:$V$37="X")*ISNUMBER('Registro Notas'!$D12:$R12)))</f>
        <v/>
      </c>
      <c r="AI12" s="35">
        <f>IF(SUMPRODUCT(('Matriz Criterios'!$H$38:$V$38="X")*ISNUMBER('Registro Notas'!$D12:$R12))=0, "-", SUMPRODUCT(('Matriz Criterios'!$H$38:$V$38="X")*ISNUMBER('Registro Notas'!$D12:$R12)*'Registro Notas'!$D12:$R12)/SUMPRODUCT(('Matriz Criterios'!$H$38:$V$38="X")*ISNUMBER('Registro Notas'!$D12:$R12)))</f>
        <v/>
      </c>
      <c r="AJ12" s="35">
        <f>IF(SUMPRODUCT(('Matriz Criterios'!$H$39:$V$39="X")*ISNUMBER('Registro Notas'!$D12:$R12))=0, "-", SUMPRODUCT(('Matriz Criterios'!$H$39:$V$39="X")*ISNUMBER('Registro Notas'!$D12:$R12)*'Registro Notas'!$D12:$R12)/SUMPRODUCT(('Matriz Criterios'!$H$39:$V$39="X")*ISNUMBER('Registro Notas'!$D12:$R12)))</f>
        <v/>
      </c>
      <c r="AK12" s="35">
        <f>IF(SUMPRODUCT(('Matriz Criterios'!$H$40:$V$40="X")*ISNUMBER('Registro Notas'!$D12:$R12))=0, "-", SUMPRODUCT(('Matriz Criterios'!$H$40:$V$40="X")*ISNUMBER('Registro Notas'!$D12:$R12)*'Registro Notas'!$D12:$R12)/SUMPRODUCT(('Matriz Criterios'!$H$40:$V$40="X")*ISNUMBER('Registro Notas'!$D12:$R12)))</f>
        <v/>
      </c>
      <c r="AL12" s="35">
        <f>IF(SUMPRODUCT(('Matriz Criterios'!$H$41:$V$41="X")*ISNUMBER('Registro Notas'!$D12:$R12))=0, "-", SUMPRODUCT(('Matriz Criterios'!$H$41:$V$41="X")*ISNUMBER('Registro Notas'!$D12:$R12)*'Registro Notas'!$D12:$R12)/SUMPRODUCT(('Matriz Criterios'!$H$41:$V$41="X")*ISNUMBER('Registro Notas'!$D12:$R12)))</f>
        <v/>
      </c>
      <c r="AM12" s="35">
        <f>IF(SUMPRODUCT(('Matriz Criterios'!$H$42:$V$42="X")*ISNUMBER('Registro Notas'!$D12:$R12))=0, "-", SUMPRODUCT(('Matriz Criterios'!$H$42:$V$42="X")*ISNUMBER('Registro Notas'!$D12:$R12)*'Registro Notas'!$D12:$R12)/SUMPRODUCT(('Matriz Criterios'!$H$42:$V$42="X")*ISNUMBER('Registro Notas'!$D12:$R12)))</f>
        <v/>
      </c>
      <c r="AN12" s="35">
        <f>IF(SUMPRODUCT(('Matriz Criterios'!$H$43:$V$43="X")*ISNUMBER('Registro Notas'!$D12:$R12))=0, "-", SUMPRODUCT(('Matriz Criterios'!$H$43:$V$43="X")*ISNUMBER('Registro Notas'!$D12:$R12)*'Registro Notas'!$D12:$R12)/SUMPRODUCT(('Matriz Criterios'!$H$43:$V$43="X")*ISNUMBER('Registro Notas'!$D12:$R12)))</f>
        <v/>
      </c>
      <c r="AO12" s="35">
        <f>IF(SUMPRODUCT(('Matriz Criterios'!$H$44:$V$44="X")*ISNUMBER('Registro Notas'!$D12:$R12))=0, "-", SUMPRODUCT(('Matriz Criterios'!$H$44:$V$44="X")*ISNUMBER('Registro Notas'!$D12:$R12)*'Registro Notas'!$D12:$R12)/SUMPRODUCT(('Matriz Criterios'!$H$44:$V$44="X")*ISNUMBER('Registro Notas'!$D12:$R12)))</f>
        <v/>
      </c>
      <c r="AP12" s="35">
        <f>IF(SUMPRODUCT(('Matriz Criterios'!$H$45:$V$45="X")*ISNUMBER('Registro Notas'!$D12:$R12))=0, "-", SUMPRODUCT(('Matriz Criterios'!$H$45:$V$45="X")*ISNUMBER('Registro Notas'!$D12:$R12)*'Registro Notas'!$D12:$R12)/SUMPRODUCT(('Matriz Criterios'!$H$45:$V$45="X")*ISNUMBER('Registro Notas'!$D12:$R12)))</f>
        <v/>
      </c>
      <c r="AQ12" s="35">
        <f>IF(SUMPRODUCT(('Matriz Criterios'!$H$46:$V$46="X")*ISNUMBER('Registro Notas'!$D12:$R12))=0, "-", SUMPRODUCT(('Matriz Criterios'!$H$46:$V$46="X")*ISNUMBER('Registro Notas'!$D12:$R12)*'Registro Notas'!$D12:$R12)/SUMPRODUCT(('Matriz Criterios'!$H$46:$V$46="X")*ISNUMBER('Registro Notas'!$D12:$R12)))</f>
        <v/>
      </c>
      <c r="AR12" s="35">
        <f>IF(SUMPRODUCT(('Matriz Criterios'!$H$47:$V$47="X")*ISNUMBER('Registro Notas'!$D12:$R12))=0, "-", SUMPRODUCT(('Matriz Criterios'!$H$47:$V$47="X")*ISNUMBER('Registro Notas'!$D12:$R12)*'Registro Notas'!$D12:$R12)/SUMPRODUCT(('Matriz Criterios'!$H$47:$V$47="X")*ISNUMBER('Registro Notas'!$D12:$R12)))</f>
        <v/>
      </c>
      <c r="AS12" s="35">
        <f>IF(SUMPRODUCT(('Matriz Criterios'!$H$48:$V$48="X")*ISNUMBER('Registro Notas'!$D12:$R12))=0, "-", SUMPRODUCT(('Matriz Criterios'!$H$48:$V$48="X")*ISNUMBER('Registro Notas'!$D12:$R12)*'Registro Notas'!$D12:$R12)/SUMPRODUCT(('Matriz Criterios'!$H$48:$V$48="X")*ISNUMBER('Registro Notas'!$D12:$R12)))</f>
        <v/>
      </c>
      <c r="AT12" s="35">
        <f>IF(SUMPRODUCT(('Matriz Criterios'!$H$49:$V$49="X")*ISNUMBER('Registro Notas'!$D12:$R12))=0, "-", SUMPRODUCT(('Matriz Criterios'!$H$49:$V$49="X")*ISNUMBER('Registro Notas'!$D12:$R12)*'Registro Notas'!$D12:$R12)/SUMPRODUCT(('Matriz Criterios'!$H$49:$V$49="X")*ISNUMBER('Registro Notas'!$D12:$R12)))</f>
        <v/>
      </c>
      <c r="AU12" s="35">
        <f>IF(SUMPRODUCT(('Matriz Criterios'!$H$50:$V$50="X")*ISNUMBER('Registro Notas'!$D12:$R12))=0, "-", SUMPRODUCT(('Matriz Criterios'!$H$50:$V$50="X")*ISNUMBER('Registro Notas'!$D12:$R12)*'Registro Notas'!$D12:$R12)/SUMPRODUCT(('Matriz Criterios'!$H$50:$V$50="X")*ISNUMBER('Registro Notas'!$D12:$R12)))</f>
        <v/>
      </c>
      <c r="AV12" s="50">
        <f>AVERAGE(C12:AU12)</f>
        <v/>
      </c>
      <c r="AW12" s="51">
        <f>COUNTIF(C12:AU12, "&gt;=5")</f>
        <v/>
      </c>
    </row>
    <row r="13" ht="20" customHeight="1">
      <c r="A13" s="21" t="n">
        <v>8</v>
      </c>
      <c r="B13" s="38" t="inlineStr">
        <is>
          <t>Jiménez Ortiz, Pablo</t>
        </is>
      </c>
      <c r="C13" s="39">
        <f>IF(SUMPRODUCT(('Matriz Criterios'!$H$6:$V$6="X")*ISNUMBER('Registro Notas'!$D13:$R13))=0, "-", SUMPRODUCT(('Matriz Criterios'!$H$6:$V$6="X")*ISNUMBER('Registro Notas'!$D13:$R13)*'Registro Notas'!$D13:$R13)/SUMPRODUCT(('Matriz Criterios'!$H$6:$V$6="X")*ISNUMBER('Registro Notas'!$D13:$R13)))</f>
        <v/>
      </c>
      <c r="D13" s="39">
        <f>IF(SUMPRODUCT(('Matriz Criterios'!$H$7:$V$7="X")*ISNUMBER('Registro Notas'!$D13:$R13))=0, "-", SUMPRODUCT(('Matriz Criterios'!$H$7:$V$7="X")*ISNUMBER('Registro Notas'!$D13:$R13)*'Registro Notas'!$D13:$R13)/SUMPRODUCT(('Matriz Criterios'!$H$7:$V$7="X")*ISNUMBER('Registro Notas'!$D13:$R13)))</f>
        <v/>
      </c>
      <c r="E13" s="39">
        <f>IF(SUMPRODUCT(('Matriz Criterios'!$H$8:$V$8="X")*ISNUMBER('Registro Notas'!$D13:$R13))=0, "-", SUMPRODUCT(('Matriz Criterios'!$H$8:$V$8="X")*ISNUMBER('Registro Notas'!$D13:$R13)*'Registro Notas'!$D13:$R13)/SUMPRODUCT(('Matriz Criterios'!$H$8:$V$8="X")*ISNUMBER('Registro Notas'!$D13:$R13)))</f>
        <v/>
      </c>
      <c r="F13" s="39">
        <f>IF(SUMPRODUCT(('Matriz Criterios'!$H$9:$V$9="X")*ISNUMBER('Registro Notas'!$D13:$R13))=0, "-", SUMPRODUCT(('Matriz Criterios'!$H$9:$V$9="X")*ISNUMBER('Registro Notas'!$D13:$R13)*'Registro Notas'!$D13:$R13)/SUMPRODUCT(('Matriz Criterios'!$H$9:$V$9="X")*ISNUMBER('Registro Notas'!$D13:$R13)))</f>
        <v/>
      </c>
      <c r="G13" s="39">
        <f>IF(SUMPRODUCT(('Matriz Criterios'!$H$10:$V$10="X")*ISNUMBER('Registro Notas'!$D13:$R13))=0, "-", SUMPRODUCT(('Matriz Criterios'!$H$10:$V$10="X")*ISNUMBER('Registro Notas'!$D13:$R13)*'Registro Notas'!$D13:$R13)/SUMPRODUCT(('Matriz Criterios'!$H$10:$V$10="X")*ISNUMBER('Registro Notas'!$D13:$R13)))</f>
        <v/>
      </c>
      <c r="H13" s="39">
        <f>IF(SUMPRODUCT(('Matriz Criterios'!$H$11:$V$11="X")*ISNUMBER('Registro Notas'!$D13:$R13))=0, "-", SUMPRODUCT(('Matriz Criterios'!$H$11:$V$11="X")*ISNUMBER('Registro Notas'!$D13:$R13)*'Registro Notas'!$D13:$R13)/SUMPRODUCT(('Matriz Criterios'!$H$11:$V$11="X")*ISNUMBER('Registro Notas'!$D13:$R13)))</f>
        <v/>
      </c>
      <c r="I13" s="39">
        <f>IF(SUMPRODUCT(('Matriz Criterios'!$H$12:$V$12="X")*ISNUMBER('Registro Notas'!$D13:$R13))=0, "-", SUMPRODUCT(('Matriz Criterios'!$H$12:$V$12="X")*ISNUMBER('Registro Notas'!$D13:$R13)*'Registro Notas'!$D13:$R13)/SUMPRODUCT(('Matriz Criterios'!$H$12:$V$12="X")*ISNUMBER('Registro Notas'!$D13:$R13)))</f>
        <v/>
      </c>
      <c r="J13" s="39">
        <f>IF(SUMPRODUCT(('Matriz Criterios'!$H$13:$V$13="X")*ISNUMBER('Registro Notas'!$D13:$R13))=0, "-", SUMPRODUCT(('Matriz Criterios'!$H$13:$V$13="X")*ISNUMBER('Registro Notas'!$D13:$R13)*'Registro Notas'!$D13:$R13)/SUMPRODUCT(('Matriz Criterios'!$H$13:$V$13="X")*ISNUMBER('Registro Notas'!$D13:$R13)))</f>
        <v/>
      </c>
      <c r="K13" s="39">
        <f>IF(SUMPRODUCT(('Matriz Criterios'!$H$14:$V$14="X")*ISNUMBER('Registro Notas'!$D13:$R13))=0, "-", SUMPRODUCT(('Matriz Criterios'!$H$14:$V$14="X")*ISNUMBER('Registro Notas'!$D13:$R13)*'Registro Notas'!$D13:$R13)/SUMPRODUCT(('Matriz Criterios'!$H$14:$V$14="X")*ISNUMBER('Registro Notas'!$D13:$R13)))</f>
        <v/>
      </c>
      <c r="L13" s="39">
        <f>IF(SUMPRODUCT(('Matriz Criterios'!$H$15:$V$15="X")*ISNUMBER('Registro Notas'!$D13:$R13))=0, "-", SUMPRODUCT(('Matriz Criterios'!$H$15:$V$15="X")*ISNUMBER('Registro Notas'!$D13:$R13)*'Registro Notas'!$D13:$R13)/SUMPRODUCT(('Matriz Criterios'!$H$15:$V$15="X")*ISNUMBER('Registro Notas'!$D13:$R13)))</f>
        <v/>
      </c>
      <c r="M13" s="39">
        <f>IF(SUMPRODUCT(('Matriz Criterios'!$H$16:$V$16="X")*ISNUMBER('Registro Notas'!$D13:$R13))=0, "-", SUMPRODUCT(('Matriz Criterios'!$H$16:$V$16="X")*ISNUMBER('Registro Notas'!$D13:$R13)*'Registro Notas'!$D13:$R13)/SUMPRODUCT(('Matriz Criterios'!$H$16:$V$16="X")*ISNUMBER('Registro Notas'!$D13:$R13)))</f>
        <v/>
      </c>
      <c r="N13" s="39">
        <f>IF(SUMPRODUCT(('Matriz Criterios'!$H$17:$V$17="X")*ISNUMBER('Registro Notas'!$D13:$R13))=0, "-", SUMPRODUCT(('Matriz Criterios'!$H$17:$V$17="X")*ISNUMBER('Registro Notas'!$D13:$R13)*'Registro Notas'!$D13:$R13)/SUMPRODUCT(('Matriz Criterios'!$H$17:$V$17="X")*ISNUMBER('Registro Notas'!$D13:$R13)))</f>
        <v/>
      </c>
      <c r="O13" s="39">
        <f>IF(SUMPRODUCT(('Matriz Criterios'!$H$18:$V$18="X")*ISNUMBER('Registro Notas'!$D13:$R13))=0, "-", SUMPRODUCT(('Matriz Criterios'!$H$18:$V$18="X")*ISNUMBER('Registro Notas'!$D13:$R13)*'Registro Notas'!$D13:$R13)/SUMPRODUCT(('Matriz Criterios'!$H$18:$V$18="X")*ISNUMBER('Registro Notas'!$D13:$R13)))</f>
        <v/>
      </c>
      <c r="P13" s="39">
        <f>IF(SUMPRODUCT(('Matriz Criterios'!$H$19:$V$19="X")*ISNUMBER('Registro Notas'!$D13:$R13))=0, "-", SUMPRODUCT(('Matriz Criterios'!$H$19:$V$19="X")*ISNUMBER('Registro Notas'!$D13:$R13)*'Registro Notas'!$D13:$R13)/SUMPRODUCT(('Matriz Criterios'!$H$19:$V$19="X")*ISNUMBER('Registro Notas'!$D13:$R13)))</f>
        <v/>
      </c>
      <c r="Q13" s="39">
        <f>IF(SUMPRODUCT(('Matriz Criterios'!$H$20:$V$20="X")*ISNUMBER('Registro Notas'!$D13:$R13))=0, "-", SUMPRODUCT(('Matriz Criterios'!$H$20:$V$20="X")*ISNUMBER('Registro Notas'!$D13:$R13)*'Registro Notas'!$D13:$R13)/SUMPRODUCT(('Matriz Criterios'!$H$20:$V$20="X")*ISNUMBER('Registro Notas'!$D13:$R13)))</f>
        <v/>
      </c>
      <c r="R13" s="39">
        <f>IF(SUMPRODUCT(('Matriz Criterios'!$H$21:$V$21="X")*ISNUMBER('Registro Notas'!$D13:$R13))=0, "-", SUMPRODUCT(('Matriz Criterios'!$H$21:$V$21="X")*ISNUMBER('Registro Notas'!$D13:$R13)*'Registro Notas'!$D13:$R13)/SUMPRODUCT(('Matriz Criterios'!$H$21:$V$21="X")*ISNUMBER('Registro Notas'!$D13:$R13)))</f>
        <v/>
      </c>
      <c r="S13" s="39">
        <f>IF(SUMPRODUCT(('Matriz Criterios'!$H$22:$V$22="X")*ISNUMBER('Registro Notas'!$D13:$R13))=0, "-", SUMPRODUCT(('Matriz Criterios'!$H$22:$V$22="X")*ISNUMBER('Registro Notas'!$D13:$R13)*'Registro Notas'!$D13:$R13)/SUMPRODUCT(('Matriz Criterios'!$H$22:$V$22="X")*ISNUMBER('Registro Notas'!$D13:$R13)))</f>
        <v/>
      </c>
      <c r="T13" s="39">
        <f>IF(SUMPRODUCT(('Matriz Criterios'!$H$23:$V$23="X")*ISNUMBER('Registro Notas'!$D13:$R13))=0, "-", SUMPRODUCT(('Matriz Criterios'!$H$23:$V$23="X")*ISNUMBER('Registro Notas'!$D13:$R13)*'Registro Notas'!$D13:$R13)/SUMPRODUCT(('Matriz Criterios'!$H$23:$V$23="X")*ISNUMBER('Registro Notas'!$D13:$R13)))</f>
        <v/>
      </c>
      <c r="U13" s="39">
        <f>IF(SUMPRODUCT(('Matriz Criterios'!$H$24:$V$24="X")*ISNUMBER('Registro Notas'!$D13:$R13))=0, "-", SUMPRODUCT(('Matriz Criterios'!$H$24:$V$24="X")*ISNUMBER('Registro Notas'!$D13:$R13)*'Registro Notas'!$D13:$R13)/SUMPRODUCT(('Matriz Criterios'!$H$24:$V$24="X")*ISNUMBER('Registro Notas'!$D13:$R13)))</f>
        <v/>
      </c>
      <c r="V13" s="39">
        <f>IF(SUMPRODUCT(('Matriz Criterios'!$H$25:$V$25="X")*ISNUMBER('Registro Notas'!$D13:$R13))=0, "-", SUMPRODUCT(('Matriz Criterios'!$H$25:$V$25="X")*ISNUMBER('Registro Notas'!$D13:$R13)*'Registro Notas'!$D13:$R13)/SUMPRODUCT(('Matriz Criterios'!$H$25:$V$25="X")*ISNUMBER('Registro Notas'!$D13:$R13)))</f>
        <v/>
      </c>
      <c r="W13" s="39">
        <f>IF(SUMPRODUCT(('Matriz Criterios'!$H$26:$V$26="X")*ISNUMBER('Registro Notas'!$D13:$R13))=0, "-", SUMPRODUCT(('Matriz Criterios'!$H$26:$V$26="X")*ISNUMBER('Registro Notas'!$D13:$R13)*'Registro Notas'!$D13:$R13)/SUMPRODUCT(('Matriz Criterios'!$H$26:$V$26="X")*ISNUMBER('Registro Notas'!$D13:$R13)))</f>
        <v/>
      </c>
      <c r="X13" s="39">
        <f>IF(SUMPRODUCT(('Matriz Criterios'!$H$27:$V$27="X")*ISNUMBER('Registro Notas'!$D13:$R13))=0, "-", SUMPRODUCT(('Matriz Criterios'!$H$27:$V$27="X")*ISNUMBER('Registro Notas'!$D13:$R13)*'Registro Notas'!$D13:$R13)/SUMPRODUCT(('Matriz Criterios'!$H$27:$V$27="X")*ISNUMBER('Registro Notas'!$D13:$R13)))</f>
        <v/>
      </c>
      <c r="Y13" s="39">
        <f>IF(SUMPRODUCT(('Matriz Criterios'!$H$28:$V$28="X")*ISNUMBER('Registro Notas'!$D13:$R13))=0, "-", SUMPRODUCT(('Matriz Criterios'!$H$28:$V$28="X")*ISNUMBER('Registro Notas'!$D13:$R13)*'Registro Notas'!$D13:$R13)/SUMPRODUCT(('Matriz Criterios'!$H$28:$V$28="X")*ISNUMBER('Registro Notas'!$D13:$R13)))</f>
        <v/>
      </c>
      <c r="Z13" s="39">
        <f>IF(SUMPRODUCT(('Matriz Criterios'!$H$29:$V$29="X")*ISNUMBER('Registro Notas'!$D13:$R13))=0, "-", SUMPRODUCT(('Matriz Criterios'!$H$29:$V$29="X")*ISNUMBER('Registro Notas'!$D13:$R13)*'Registro Notas'!$D13:$R13)/SUMPRODUCT(('Matriz Criterios'!$H$29:$V$29="X")*ISNUMBER('Registro Notas'!$D13:$R13)))</f>
        <v/>
      </c>
      <c r="AA13" s="39">
        <f>IF(SUMPRODUCT(('Matriz Criterios'!$H$30:$V$30="X")*ISNUMBER('Registro Notas'!$D13:$R13))=0, "-", SUMPRODUCT(('Matriz Criterios'!$H$30:$V$30="X")*ISNUMBER('Registro Notas'!$D13:$R13)*'Registro Notas'!$D13:$R13)/SUMPRODUCT(('Matriz Criterios'!$H$30:$V$30="X")*ISNUMBER('Registro Notas'!$D13:$R13)))</f>
        <v/>
      </c>
      <c r="AB13" s="39">
        <f>IF(SUMPRODUCT(('Matriz Criterios'!$H$31:$V$31="X")*ISNUMBER('Registro Notas'!$D13:$R13))=0, "-", SUMPRODUCT(('Matriz Criterios'!$H$31:$V$31="X")*ISNUMBER('Registro Notas'!$D13:$R13)*'Registro Notas'!$D13:$R13)/SUMPRODUCT(('Matriz Criterios'!$H$31:$V$31="X")*ISNUMBER('Registro Notas'!$D13:$R13)))</f>
        <v/>
      </c>
      <c r="AC13" s="39">
        <f>IF(SUMPRODUCT(('Matriz Criterios'!$H$32:$V$32="X")*ISNUMBER('Registro Notas'!$D13:$R13))=0, "-", SUMPRODUCT(('Matriz Criterios'!$H$32:$V$32="X")*ISNUMBER('Registro Notas'!$D13:$R13)*'Registro Notas'!$D13:$R13)/SUMPRODUCT(('Matriz Criterios'!$H$32:$V$32="X")*ISNUMBER('Registro Notas'!$D13:$R13)))</f>
        <v/>
      </c>
      <c r="AD13" s="39">
        <f>IF(SUMPRODUCT(('Matriz Criterios'!$H$33:$V$33="X")*ISNUMBER('Registro Notas'!$D13:$R13))=0, "-", SUMPRODUCT(('Matriz Criterios'!$H$33:$V$33="X")*ISNUMBER('Registro Notas'!$D13:$R13)*'Registro Notas'!$D13:$R13)/SUMPRODUCT(('Matriz Criterios'!$H$33:$V$33="X")*ISNUMBER('Registro Notas'!$D13:$R13)))</f>
        <v/>
      </c>
      <c r="AE13" s="39">
        <f>IF(SUMPRODUCT(('Matriz Criterios'!$H$34:$V$34="X")*ISNUMBER('Registro Notas'!$D13:$R13))=0, "-", SUMPRODUCT(('Matriz Criterios'!$H$34:$V$34="X")*ISNUMBER('Registro Notas'!$D13:$R13)*'Registro Notas'!$D13:$R13)/SUMPRODUCT(('Matriz Criterios'!$H$34:$V$34="X")*ISNUMBER('Registro Notas'!$D13:$R13)))</f>
        <v/>
      </c>
      <c r="AF13" s="39">
        <f>IF(SUMPRODUCT(('Matriz Criterios'!$H$35:$V$35="X")*ISNUMBER('Registro Notas'!$D13:$R13))=0, "-", SUMPRODUCT(('Matriz Criterios'!$H$35:$V$35="X")*ISNUMBER('Registro Notas'!$D13:$R13)*'Registro Notas'!$D13:$R13)/SUMPRODUCT(('Matriz Criterios'!$H$35:$V$35="X")*ISNUMBER('Registro Notas'!$D13:$R13)))</f>
        <v/>
      </c>
      <c r="AG13" s="39">
        <f>IF(SUMPRODUCT(('Matriz Criterios'!$H$36:$V$36="X")*ISNUMBER('Registro Notas'!$D13:$R13))=0, "-", SUMPRODUCT(('Matriz Criterios'!$H$36:$V$36="X")*ISNUMBER('Registro Notas'!$D13:$R13)*'Registro Notas'!$D13:$R13)/SUMPRODUCT(('Matriz Criterios'!$H$36:$V$36="X")*ISNUMBER('Registro Notas'!$D13:$R13)))</f>
        <v/>
      </c>
      <c r="AH13" s="39">
        <f>IF(SUMPRODUCT(('Matriz Criterios'!$H$37:$V$37="X")*ISNUMBER('Registro Notas'!$D13:$R13))=0, "-", SUMPRODUCT(('Matriz Criterios'!$H$37:$V$37="X")*ISNUMBER('Registro Notas'!$D13:$R13)*'Registro Notas'!$D13:$R13)/SUMPRODUCT(('Matriz Criterios'!$H$37:$V$37="X")*ISNUMBER('Registro Notas'!$D13:$R13)))</f>
        <v/>
      </c>
      <c r="AI13" s="39">
        <f>IF(SUMPRODUCT(('Matriz Criterios'!$H$38:$V$38="X")*ISNUMBER('Registro Notas'!$D13:$R13))=0, "-", SUMPRODUCT(('Matriz Criterios'!$H$38:$V$38="X")*ISNUMBER('Registro Notas'!$D13:$R13)*'Registro Notas'!$D13:$R13)/SUMPRODUCT(('Matriz Criterios'!$H$38:$V$38="X")*ISNUMBER('Registro Notas'!$D13:$R13)))</f>
        <v/>
      </c>
      <c r="AJ13" s="39">
        <f>IF(SUMPRODUCT(('Matriz Criterios'!$H$39:$V$39="X")*ISNUMBER('Registro Notas'!$D13:$R13))=0, "-", SUMPRODUCT(('Matriz Criterios'!$H$39:$V$39="X")*ISNUMBER('Registro Notas'!$D13:$R13)*'Registro Notas'!$D13:$R13)/SUMPRODUCT(('Matriz Criterios'!$H$39:$V$39="X")*ISNUMBER('Registro Notas'!$D13:$R13)))</f>
        <v/>
      </c>
      <c r="AK13" s="39">
        <f>IF(SUMPRODUCT(('Matriz Criterios'!$H$40:$V$40="X")*ISNUMBER('Registro Notas'!$D13:$R13))=0, "-", SUMPRODUCT(('Matriz Criterios'!$H$40:$V$40="X")*ISNUMBER('Registro Notas'!$D13:$R13)*'Registro Notas'!$D13:$R13)/SUMPRODUCT(('Matriz Criterios'!$H$40:$V$40="X")*ISNUMBER('Registro Notas'!$D13:$R13)))</f>
        <v/>
      </c>
      <c r="AL13" s="39">
        <f>IF(SUMPRODUCT(('Matriz Criterios'!$H$41:$V$41="X")*ISNUMBER('Registro Notas'!$D13:$R13))=0, "-", SUMPRODUCT(('Matriz Criterios'!$H$41:$V$41="X")*ISNUMBER('Registro Notas'!$D13:$R13)*'Registro Notas'!$D13:$R13)/SUMPRODUCT(('Matriz Criterios'!$H$41:$V$41="X")*ISNUMBER('Registro Notas'!$D13:$R13)))</f>
        <v/>
      </c>
      <c r="AM13" s="39">
        <f>IF(SUMPRODUCT(('Matriz Criterios'!$H$42:$V$42="X")*ISNUMBER('Registro Notas'!$D13:$R13))=0, "-", SUMPRODUCT(('Matriz Criterios'!$H$42:$V$42="X")*ISNUMBER('Registro Notas'!$D13:$R13)*'Registro Notas'!$D13:$R13)/SUMPRODUCT(('Matriz Criterios'!$H$42:$V$42="X")*ISNUMBER('Registro Notas'!$D13:$R13)))</f>
        <v/>
      </c>
      <c r="AN13" s="39">
        <f>IF(SUMPRODUCT(('Matriz Criterios'!$H$43:$V$43="X")*ISNUMBER('Registro Notas'!$D13:$R13))=0, "-", SUMPRODUCT(('Matriz Criterios'!$H$43:$V$43="X")*ISNUMBER('Registro Notas'!$D13:$R13)*'Registro Notas'!$D13:$R13)/SUMPRODUCT(('Matriz Criterios'!$H$43:$V$43="X")*ISNUMBER('Registro Notas'!$D13:$R13)))</f>
        <v/>
      </c>
      <c r="AO13" s="39">
        <f>IF(SUMPRODUCT(('Matriz Criterios'!$H$44:$V$44="X")*ISNUMBER('Registro Notas'!$D13:$R13))=0, "-", SUMPRODUCT(('Matriz Criterios'!$H$44:$V$44="X")*ISNUMBER('Registro Notas'!$D13:$R13)*'Registro Notas'!$D13:$R13)/SUMPRODUCT(('Matriz Criterios'!$H$44:$V$44="X")*ISNUMBER('Registro Notas'!$D13:$R13)))</f>
        <v/>
      </c>
      <c r="AP13" s="39">
        <f>IF(SUMPRODUCT(('Matriz Criterios'!$H$45:$V$45="X")*ISNUMBER('Registro Notas'!$D13:$R13))=0, "-", SUMPRODUCT(('Matriz Criterios'!$H$45:$V$45="X")*ISNUMBER('Registro Notas'!$D13:$R13)*'Registro Notas'!$D13:$R13)/SUMPRODUCT(('Matriz Criterios'!$H$45:$V$45="X")*ISNUMBER('Registro Notas'!$D13:$R13)))</f>
        <v/>
      </c>
      <c r="AQ13" s="39">
        <f>IF(SUMPRODUCT(('Matriz Criterios'!$H$46:$V$46="X")*ISNUMBER('Registro Notas'!$D13:$R13))=0, "-", SUMPRODUCT(('Matriz Criterios'!$H$46:$V$46="X")*ISNUMBER('Registro Notas'!$D13:$R13)*'Registro Notas'!$D13:$R13)/SUMPRODUCT(('Matriz Criterios'!$H$46:$V$46="X")*ISNUMBER('Registro Notas'!$D13:$R13)))</f>
        <v/>
      </c>
      <c r="AR13" s="39">
        <f>IF(SUMPRODUCT(('Matriz Criterios'!$H$47:$V$47="X")*ISNUMBER('Registro Notas'!$D13:$R13))=0, "-", SUMPRODUCT(('Matriz Criterios'!$H$47:$V$47="X")*ISNUMBER('Registro Notas'!$D13:$R13)*'Registro Notas'!$D13:$R13)/SUMPRODUCT(('Matriz Criterios'!$H$47:$V$47="X")*ISNUMBER('Registro Notas'!$D13:$R13)))</f>
        <v/>
      </c>
      <c r="AS13" s="39">
        <f>IF(SUMPRODUCT(('Matriz Criterios'!$H$48:$V$48="X")*ISNUMBER('Registro Notas'!$D13:$R13))=0, "-", SUMPRODUCT(('Matriz Criterios'!$H$48:$V$48="X")*ISNUMBER('Registro Notas'!$D13:$R13)*'Registro Notas'!$D13:$R13)/SUMPRODUCT(('Matriz Criterios'!$H$48:$V$48="X")*ISNUMBER('Registro Notas'!$D13:$R13)))</f>
        <v/>
      </c>
      <c r="AT13" s="39">
        <f>IF(SUMPRODUCT(('Matriz Criterios'!$H$49:$V$49="X")*ISNUMBER('Registro Notas'!$D13:$R13))=0, "-", SUMPRODUCT(('Matriz Criterios'!$H$49:$V$49="X")*ISNUMBER('Registro Notas'!$D13:$R13)*'Registro Notas'!$D13:$R13)/SUMPRODUCT(('Matriz Criterios'!$H$49:$V$49="X")*ISNUMBER('Registro Notas'!$D13:$R13)))</f>
        <v/>
      </c>
      <c r="AU13" s="39">
        <f>IF(SUMPRODUCT(('Matriz Criterios'!$H$50:$V$50="X")*ISNUMBER('Registro Notas'!$D13:$R13))=0, "-", SUMPRODUCT(('Matriz Criterios'!$H$50:$V$50="X")*ISNUMBER('Registro Notas'!$D13:$R13)*'Registro Notas'!$D13:$R13)/SUMPRODUCT(('Matriz Criterios'!$H$50:$V$50="X")*ISNUMBER('Registro Notas'!$D13:$R13)))</f>
        <v/>
      </c>
      <c r="AV13" s="50">
        <f>AVERAGE(C13:AU13)</f>
        <v/>
      </c>
      <c r="AW13" s="51">
        <f>COUNTIF(C13:AU13, "&gt;=5")</f>
        <v/>
      </c>
    </row>
    <row r="14" ht="20" customHeight="1">
      <c r="A14" s="13" t="n">
        <v>9</v>
      </c>
      <c r="B14" s="34" t="inlineStr">
        <is>
          <t>López Molina, Sara</t>
        </is>
      </c>
      <c r="C14" s="35">
        <f>IF(SUMPRODUCT(('Matriz Criterios'!$H$6:$V$6="X")*ISNUMBER('Registro Notas'!$D14:$R14))=0, "-", SUMPRODUCT(('Matriz Criterios'!$H$6:$V$6="X")*ISNUMBER('Registro Notas'!$D14:$R14)*'Registro Notas'!$D14:$R14)/SUMPRODUCT(('Matriz Criterios'!$H$6:$V$6="X")*ISNUMBER('Registro Notas'!$D14:$R14)))</f>
        <v/>
      </c>
      <c r="D14" s="35">
        <f>IF(SUMPRODUCT(('Matriz Criterios'!$H$7:$V$7="X")*ISNUMBER('Registro Notas'!$D14:$R14))=0, "-", SUMPRODUCT(('Matriz Criterios'!$H$7:$V$7="X")*ISNUMBER('Registro Notas'!$D14:$R14)*'Registro Notas'!$D14:$R14)/SUMPRODUCT(('Matriz Criterios'!$H$7:$V$7="X")*ISNUMBER('Registro Notas'!$D14:$R14)))</f>
        <v/>
      </c>
      <c r="E14" s="35">
        <f>IF(SUMPRODUCT(('Matriz Criterios'!$H$8:$V$8="X")*ISNUMBER('Registro Notas'!$D14:$R14))=0, "-", SUMPRODUCT(('Matriz Criterios'!$H$8:$V$8="X")*ISNUMBER('Registro Notas'!$D14:$R14)*'Registro Notas'!$D14:$R14)/SUMPRODUCT(('Matriz Criterios'!$H$8:$V$8="X")*ISNUMBER('Registro Notas'!$D14:$R14)))</f>
        <v/>
      </c>
      <c r="F14" s="35">
        <f>IF(SUMPRODUCT(('Matriz Criterios'!$H$9:$V$9="X")*ISNUMBER('Registro Notas'!$D14:$R14))=0, "-", SUMPRODUCT(('Matriz Criterios'!$H$9:$V$9="X")*ISNUMBER('Registro Notas'!$D14:$R14)*'Registro Notas'!$D14:$R14)/SUMPRODUCT(('Matriz Criterios'!$H$9:$V$9="X")*ISNUMBER('Registro Notas'!$D14:$R14)))</f>
        <v/>
      </c>
      <c r="G14" s="35">
        <f>IF(SUMPRODUCT(('Matriz Criterios'!$H$10:$V$10="X")*ISNUMBER('Registro Notas'!$D14:$R14))=0, "-", SUMPRODUCT(('Matriz Criterios'!$H$10:$V$10="X")*ISNUMBER('Registro Notas'!$D14:$R14)*'Registro Notas'!$D14:$R14)/SUMPRODUCT(('Matriz Criterios'!$H$10:$V$10="X")*ISNUMBER('Registro Notas'!$D14:$R14)))</f>
        <v/>
      </c>
      <c r="H14" s="35">
        <f>IF(SUMPRODUCT(('Matriz Criterios'!$H$11:$V$11="X")*ISNUMBER('Registro Notas'!$D14:$R14))=0, "-", SUMPRODUCT(('Matriz Criterios'!$H$11:$V$11="X")*ISNUMBER('Registro Notas'!$D14:$R14)*'Registro Notas'!$D14:$R14)/SUMPRODUCT(('Matriz Criterios'!$H$11:$V$11="X")*ISNUMBER('Registro Notas'!$D14:$R14)))</f>
        <v/>
      </c>
      <c r="I14" s="35">
        <f>IF(SUMPRODUCT(('Matriz Criterios'!$H$12:$V$12="X")*ISNUMBER('Registro Notas'!$D14:$R14))=0, "-", SUMPRODUCT(('Matriz Criterios'!$H$12:$V$12="X")*ISNUMBER('Registro Notas'!$D14:$R14)*'Registro Notas'!$D14:$R14)/SUMPRODUCT(('Matriz Criterios'!$H$12:$V$12="X")*ISNUMBER('Registro Notas'!$D14:$R14)))</f>
        <v/>
      </c>
      <c r="J14" s="35">
        <f>IF(SUMPRODUCT(('Matriz Criterios'!$H$13:$V$13="X")*ISNUMBER('Registro Notas'!$D14:$R14))=0, "-", SUMPRODUCT(('Matriz Criterios'!$H$13:$V$13="X")*ISNUMBER('Registro Notas'!$D14:$R14)*'Registro Notas'!$D14:$R14)/SUMPRODUCT(('Matriz Criterios'!$H$13:$V$13="X")*ISNUMBER('Registro Notas'!$D14:$R14)))</f>
        <v/>
      </c>
      <c r="K14" s="35">
        <f>IF(SUMPRODUCT(('Matriz Criterios'!$H$14:$V$14="X")*ISNUMBER('Registro Notas'!$D14:$R14))=0, "-", SUMPRODUCT(('Matriz Criterios'!$H$14:$V$14="X")*ISNUMBER('Registro Notas'!$D14:$R14)*'Registro Notas'!$D14:$R14)/SUMPRODUCT(('Matriz Criterios'!$H$14:$V$14="X")*ISNUMBER('Registro Notas'!$D14:$R14)))</f>
        <v/>
      </c>
      <c r="L14" s="35">
        <f>IF(SUMPRODUCT(('Matriz Criterios'!$H$15:$V$15="X")*ISNUMBER('Registro Notas'!$D14:$R14))=0, "-", SUMPRODUCT(('Matriz Criterios'!$H$15:$V$15="X")*ISNUMBER('Registro Notas'!$D14:$R14)*'Registro Notas'!$D14:$R14)/SUMPRODUCT(('Matriz Criterios'!$H$15:$V$15="X")*ISNUMBER('Registro Notas'!$D14:$R14)))</f>
        <v/>
      </c>
      <c r="M14" s="35">
        <f>IF(SUMPRODUCT(('Matriz Criterios'!$H$16:$V$16="X")*ISNUMBER('Registro Notas'!$D14:$R14))=0, "-", SUMPRODUCT(('Matriz Criterios'!$H$16:$V$16="X")*ISNUMBER('Registro Notas'!$D14:$R14)*'Registro Notas'!$D14:$R14)/SUMPRODUCT(('Matriz Criterios'!$H$16:$V$16="X")*ISNUMBER('Registro Notas'!$D14:$R14)))</f>
        <v/>
      </c>
      <c r="N14" s="35">
        <f>IF(SUMPRODUCT(('Matriz Criterios'!$H$17:$V$17="X")*ISNUMBER('Registro Notas'!$D14:$R14))=0, "-", SUMPRODUCT(('Matriz Criterios'!$H$17:$V$17="X")*ISNUMBER('Registro Notas'!$D14:$R14)*'Registro Notas'!$D14:$R14)/SUMPRODUCT(('Matriz Criterios'!$H$17:$V$17="X")*ISNUMBER('Registro Notas'!$D14:$R14)))</f>
        <v/>
      </c>
      <c r="O14" s="35">
        <f>IF(SUMPRODUCT(('Matriz Criterios'!$H$18:$V$18="X")*ISNUMBER('Registro Notas'!$D14:$R14))=0, "-", SUMPRODUCT(('Matriz Criterios'!$H$18:$V$18="X")*ISNUMBER('Registro Notas'!$D14:$R14)*'Registro Notas'!$D14:$R14)/SUMPRODUCT(('Matriz Criterios'!$H$18:$V$18="X")*ISNUMBER('Registro Notas'!$D14:$R14)))</f>
        <v/>
      </c>
      <c r="P14" s="35">
        <f>IF(SUMPRODUCT(('Matriz Criterios'!$H$19:$V$19="X")*ISNUMBER('Registro Notas'!$D14:$R14))=0, "-", SUMPRODUCT(('Matriz Criterios'!$H$19:$V$19="X")*ISNUMBER('Registro Notas'!$D14:$R14)*'Registro Notas'!$D14:$R14)/SUMPRODUCT(('Matriz Criterios'!$H$19:$V$19="X")*ISNUMBER('Registro Notas'!$D14:$R14)))</f>
        <v/>
      </c>
      <c r="Q14" s="35">
        <f>IF(SUMPRODUCT(('Matriz Criterios'!$H$20:$V$20="X")*ISNUMBER('Registro Notas'!$D14:$R14))=0, "-", SUMPRODUCT(('Matriz Criterios'!$H$20:$V$20="X")*ISNUMBER('Registro Notas'!$D14:$R14)*'Registro Notas'!$D14:$R14)/SUMPRODUCT(('Matriz Criterios'!$H$20:$V$20="X")*ISNUMBER('Registro Notas'!$D14:$R14)))</f>
        <v/>
      </c>
      <c r="R14" s="35">
        <f>IF(SUMPRODUCT(('Matriz Criterios'!$H$21:$V$21="X")*ISNUMBER('Registro Notas'!$D14:$R14))=0, "-", SUMPRODUCT(('Matriz Criterios'!$H$21:$V$21="X")*ISNUMBER('Registro Notas'!$D14:$R14)*'Registro Notas'!$D14:$R14)/SUMPRODUCT(('Matriz Criterios'!$H$21:$V$21="X")*ISNUMBER('Registro Notas'!$D14:$R14)))</f>
        <v/>
      </c>
      <c r="S14" s="35">
        <f>IF(SUMPRODUCT(('Matriz Criterios'!$H$22:$V$22="X")*ISNUMBER('Registro Notas'!$D14:$R14))=0, "-", SUMPRODUCT(('Matriz Criterios'!$H$22:$V$22="X")*ISNUMBER('Registro Notas'!$D14:$R14)*'Registro Notas'!$D14:$R14)/SUMPRODUCT(('Matriz Criterios'!$H$22:$V$22="X")*ISNUMBER('Registro Notas'!$D14:$R14)))</f>
        <v/>
      </c>
      <c r="T14" s="35">
        <f>IF(SUMPRODUCT(('Matriz Criterios'!$H$23:$V$23="X")*ISNUMBER('Registro Notas'!$D14:$R14))=0, "-", SUMPRODUCT(('Matriz Criterios'!$H$23:$V$23="X")*ISNUMBER('Registro Notas'!$D14:$R14)*'Registro Notas'!$D14:$R14)/SUMPRODUCT(('Matriz Criterios'!$H$23:$V$23="X")*ISNUMBER('Registro Notas'!$D14:$R14)))</f>
        <v/>
      </c>
      <c r="U14" s="35">
        <f>IF(SUMPRODUCT(('Matriz Criterios'!$H$24:$V$24="X")*ISNUMBER('Registro Notas'!$D14:$R14))=0, "-", SUMPRODUCT(('Matriz Criterios'!$H$24:$V$24="X")*ISNUMBER('Registro Notas'!$D14:$R14)*'Registro Notas'!$D14:$R14)/SUMPRODUCT(('Matriz Criterios'!$H$24:$V$24="X")*ISNUMBER('Registro Notas'!$D14:$R14)))</f>
        <v/>
      </c>
      <c r="V14" s="35">
        <f>IF(SUMPRODUCT(('Matriz Criterios'!$H$25:$V$25="X")*ISNUMBER('Registro Notas'!$D14:$R14))=0, "-", SUMPRODUCT(('Matriz Criterios'!$H$25:$V$25="X")*ISNUMBER('Registro Notas'!$D14:$R14)*'Registro Notas'!$D14:$R14)/SUMPRODUCT(('Matriz Criterios'!$H$25:$V$25="X")*ISNUMBER('Registro Notas'!$D14:$R14)))</f>
        <v/>
      </c>
      <c r="W14" s="35">
        <f>IF(SUMPRODUCT(('Matriz Criterios'!$H$26:$V$26="X")*ISNUMBER('Registro Notas'!$D14:$R14))=0, "-", SUMPRODUCT(('Matriz Criterios'!$H$26:$V$26="X")*ISNUMBER('Registro Notas'!$D14:$R14)*'Registro Notas'!$D14:$R14)/SUMPRODUCT(('Matriz Criterios'!$H$26:$V$26="X")*ISNUMBER('Registro Notas'!$D14:$R14)))</f>
        <v/>
      </c>
      <c r="X14" s="35">
        <f>IF(SUMPRODUCT(('Matriz Criterios'!$H$27:$V$27="X")*ISNUMBER('Registro Notas'!$D14:$R14))=0, "-", SUMPRODUCT(('Matriz Criterios'!$H$27:$V$27="X")*ISNUMBER('Registro Notas'!$D14:$R14)*'Registro Notas'!$D14:$R14)/SUMPRODUCT(('Matriz Criterios'!$H$27:$V$27="X")*ISNUMBER('Registro Notas'!$D14:$R14)))</f>
        <v/>
      </c>
      <c r="Y14" s="35">
        <f>IF(SUMPRODUCT(('Matriz Criterios'!$H$28:$V$28="X")*ISNUMBER('Registro Notas'!$D14:$R14))=0, "-", SUMPRODUCT(('Matriz Criterios'!$H$28:$V$28="X")*ISNUMBER('Registro Notas'!$D14:$R14)*'Registro Notas'!$D14:$R14)/SUMPRODUCT(('Matriz Criterios'!$H$28:$V$28="X")*ISNUMBER('Registro Notas'!$D14:$R14)))</f>
        <v/>
      </c>
      <c r="Z14" s="35">
        <f>IF(SUMPRODUCT(('Matriz Criterios'!$H$29:$V$29="X")*ISNUMBER('Registro Notas'!$D14:$R14))=0, "-", SUMPRODUCT(('Matriz Criterios'!$H$29:$V$29="X")*ISNUMBER('Registro Notas'!$D14:$R14)*'Registro Notas'!$D14:$R14)/SUMPRODUCT(('Matriz Criterios'!$H$29:$V$29="X")*ISNUMBER('Registro Notas'!$D14:$R14)))</f>
        <v/>
      </c>
      <c r="AA14" s="35">
        <f>IF(SUMPRODUCT(('Matriz Criterios'!$H$30:$V$30="X")*ISNUMBER('Registro Notas'!$D14:$R14))=0, "-", SUMPRODUCT(('Matriz Criterios'!$H$30:$V$30="X")*ISNUMBER('Registro Notas'!$D14:$R14)*'Registro Notas'!$D14:$R14)/SUMPRODUCT(('Matriz Criterios'!$H$30:$V$30="X")*ISNUMBER('Registro Notas'!$D14:$R14)))</f>
        <v/>
      </c>
      <c r="AB14" s="35">
        <f>IF(SUMPRODUCT(('Matriz Criterios'!$H$31:$V$31="X")*ISNUMBER('Registro Notas'!$D14:$R14))=0, "-", SUMPRODUCT(('Matriz Criterios'!$H$31:$V$31="X")*ISNUMBER('Registro Notas'!$D14:$R14)*'Registro Notas'!$D14:$R14)/SUMPRODUCT(('Matriz Criterios'!$H$31:$V$31="X")*ISNUMBER('Registro Notas'!$D14:$R14)))</f>
        <v/>
      </c>
      <c r="AC14" s="35">
        <f>IF(SUMPRODUCT(('Matriz Criterios'!$H$32:$V$32="X")*ISNUMBER('Registro Notas'!$D14:$R14))=0, "-", SUMPRODUCT(('Matriz Criterios'!$H$32:$V$32="X")*ISNUMBER('Registro Notas'!$D14:$R14)*'Registro Notas'!$D14:$R14)/SUMPRODUCT(('Matriz Criterios'!$H$32:$V$32="X")*ISNUMBER('Registro Notas'!$D14:$R14)))</f>
        <v/>
      </c>
      <c r="AD14" s="35">
        <f>IF(SUMPRODUCT(('Matriz Criterios'!$H$33:$V$33="X")*ISNUMBER('Registro Notas'!$D14:$R14))=0, "-", SUMPRODUCT(('Matriz Criterios'!$H$33:$V$33="X")*ISNUMBER('Registro Notas'!$D14:$R14)*'Registro Notas'!$D14:$R14)/SUMPRODUCT(('Matriz Criterios'!$H$33:$V$33="X")*ISNUMBER('Registro Notas'!$D14:$R14)))</f>
        <v/>
      </c>
      <c r="AE14" s="35">
        <f>IF(SUMPRODUCT(('Matriz Criterios'!$H$34:$V$34="X")*ISNUMBER('Registro Notas'!$D14:$R14))=0, "-", SUMPRODUCT(('Matriz Criterios'!$H$34:$V$34="X")*ISNUMBER('Registro Notas'!$D14:$R14)*'Registro Notas'!$D14:$R14)/SUMPRODUCT(('Matriz Criterios'!$H$34:$V$34="X")*ISNUMBER('Registro Notas'!$D14:$R14)))</f>
        <v/>
      </c>
      <c r="AF14" s="35">
        <f>IF(SUMPRODUCT(('Matriz Criterios'!$H$35:$V$35="X")*ISNUMBER('Registro Notas'!$D14:$R14))=0, "-", SUMPRODUCT(('Matriz Criterios'!$H$35:$V$35="X")*ISNUMBER('Registro Notas'!$D14:$R14)*'Registro Notas'!$D14:$R14)/SUMPRODUCT(('Matriz Criterios'!$H$35:$V$35="X")*ISNUMBER('Registro Notas'!$D14:$R14)))</f>
        <v/>
      </c>
      <c r="AG14" s="35">
        <f>IF(SUMPRODUCT(('Matriz Criterios'!$H$36:$V$36="X")*ISNUMBER('Registro Notas'!$D14:$R14))=0, "-", SUMPRODUCT(('Matriz Criterios'!$H$36:$V$36="X")*ISNUMBER('Registro Notas'!$D14:$R14)*'Registro Notas'!$D14:$R14)/SUMPRODUCT(('Matriz Criterios'!$H$36:$V$36="X")*ISNUMBER('Registro Notas'!$D14:$R14)))</f>
        <v/>
      </c>
      <c r="AH14" s="35">
        <f>IF(SUMPRODUCT(('Matriz Criterios'!$H$37:$V$37="X")*ISNUMBER('Registro Notas'!$D14:$R14))=0, "-", SUMPRODUCT(('Matriz Criterios'!$H$37:$V$37="X")*ISNUMBER('Registro Notas'!$D14:$R14)*'Registro Notas'!$D14:$R14)/SUMPRODUCT(('Matriz Criterios'!$H$37:$V$37="X")*ISNUMBER('Registro Notas'!$D14:$R14)))</f>
        <v/>
      </c>
      <c r="AI14" s="35">
        <f>IF(SUMPRODUCT(('Matriz Criterios'!$H$38:$V$38="X")*ISNUMBER('Registro Notas'!$D14:$R14))=0, "-", SUMPRODUCT(('Matriz Criterios'!$H$38:$V$38="X")*ISNUMBER('Registro Notas'!$D14:$R14)*'Registro Notas'!$D14:$R14)/SUMPRODUCT(('Matriz Criterios'!$H$38:$V$38="X")*ISNUMBER('Registro Notas'!$D14:$R14)))</f>
        <v/>
      </c>
      <c r="AJ14" s="35">
        <f>IF(SUMPRODUCT(('Matriz Criterios'!$H$39:$V$39="X")*ISNUMBER('Registro Notas'!$D14:$R14))=0, "-", SUMPRODUCT(('Matriz Criterios'!$H$39:$V$39="X")*ISNUMBER('Registro Notas'!$D14:$R14)*'Registro Notas'!$D14:$R14)/SUMPRODUCT(('Matriz Criterios'!$H$39:$V$39="X")*ISNUMBER('Registro Notas'!$D14:$R14)))</f>
        <v/>
      </c>
      <c r="AK14" s="35">
        <f>IF(SUMPRODUCT(('Matriz Criterios'!$H$40:$V$40="X")*ISNUMBER('Registro Notas'!$D14:$R14))=0, "-", SUMPRODUCT(('Matriz Criterios'!$H$40:$V$40="X")*ISNUMBER('Registro Notas'!$D14:$R14)*'Registro Notas'!$D14:$R14)/SUMPRODUCT(('Matriz Criterios'!$H$40:$V$40="X")*ISNUMBER('Registro Notas'!$D14:$R14)))</f>
        <v/>
      </c>
      <c r="AL14" s="35">
        <f>IF(SUMPRODUCT(('Matriz Criterios'!$H$41:$V$41="X")*ISNUMBER('Registro Notas'!$D14:$R14))=0, "-", SUMPRODUCT(('Matriz Criterios'!$H$41:$V$41="X")*ISNUMBER('Registro Notas'!$D14:$R14)*'Registro Notas'!$D14:$R14)/SUMPRODUCT(('Matriz Criterios'!$H$41:$V$41="X")*ISNUMBER('Registro Notas'!$D14:$R14)))</f>
        <v/>
      </c>
      <c r="AM14" s="35">
        <f>IF(SUMPRODUCT(('Matriz Criterios'!$H$42:$V$42="X")*ISNUMBER('Registro Notas'!$D14:$R14))=0, "-", SUMPRODUCT(('Matriz Criterios'!$H$42:$V$42="X")*ISNUMBER('Registro Notas'!$D14:$R14)*'Registro Notas'!$D14:$R14)/SUMPRODUCT(('Matriz Criterios'!$H$42:$V$42="X")*ISNUMBER('Registro Notas'!$D14:$R14)))</f>
        <v/>
      </c>
      <c r="AN14" s="35">
        <f>IF(SUMPRODUCT(('Matriz Criterios'!$H$43:$V$43="X")*ISNUMBER('Registro Notas'!$D14:$R14))=0, "-", SUMPRODUCT(('Matriz Criterios'!$H$43:$V$43="X")*ISNUMBER('Registro Notas'!$D14:$R14)*'Registro Notas'!$D14:$R14)/SUMPRODUCT(('Matriz Criterios'!$H$43:$V$43="X")*ISNUMBER('Registro Notas'!$D14:$R14)))</f>
        <v/>
      </c>
      <c r="AO14" s="35">
        <f>IF(SUMPRODUCT(('Matriz Criterios'!$H$44:$V$44="X")*ISNUMBER('Registro Notas'!$D14:$R14))=0, "-", SUMPRODUCT(('Matriz Criterios'!$H$44:$V$44="X")*ISNUMBER('Registro Notas'!$D14:$R14)*'Registro Notas'!$D14:$R14)/SUMPRODUCT(('Matriz Criterios'!$H$44:$V$44="X")*ISNUMBER('Registro Notas'!$D14:$R14)))</f>
        <v/>
      </c>
      <c r="AP14" s="35">
        <f>IF(SUMPRODUCT(('Matriz Criterios'!$H$45:$V$45="X")*ISNUMBER('Registro Notas'!$D14:$R14))=0, "-", SUMPRODUCT(('Matriz Criterios'!$H$45:$V$45="X")*ISNUMBER('Registro Notas'!$D14:$R14)*'Registro Notas'!$D14:$R14)/SUMPRODUCT(('Matriz Criterios'!$H$45:$V$45="X")*ISNUMBER('Registro Notas'!$D14:$R14)))</f>
        <v/>
      </c>
      <c r="AQ14" s="35">
        <f>IF(SUMPRODUCT(('Matriz Criterios'!$H$46:$V$46="X")*ISNUMBER('Registro Notas'!$D14:$R14))=0, "-", SUMPRODUCT(('Matriz Criterios'!$H$46:$V$46="X")*ISNUMBER('Registro Notas'!$D14:$R14)*'Registro Notas'!$D14:$R14)/SUMPRODUCT(('Matriz Criterios'!$H$46:$V$46="X")*ISNUMBER('Registro Notas'!$D14:$R14)))</f>
        <v/>
      </c>
      <c r="AR14" s="35">
        <f>IF(SUMPRODUCT(('Matriz Criterios'!$H$47:$V$47="X")*ISNUMBER('Registro Notas'!$D14:$R14))=0, "-", SUMPRODUCT(('Matriz Criterios'!$H$47:$V$47="X")*ISNUMBER('Registro Notas'!$D14:$R14)*'Registro Notas'!$D14:$R14)/SUMPRODUCT(('Matriz Criterios'!$H$47:$V$47="X")*ISNUMBER('Registro Notas'!$D14:$R14)))</f>
        <v/>
      </c>
      <c r="AS14" s="35">
        <f>IF(SUMPRODUCT(('Matriz Criterios'!$H$48:$V$48="X")*ISNUMBER('Registro Notas'!$D14:$R14))=0, "-", SUMPRODUCT(('Matriz Criterios'!$H$48:$V$48="X")*ISNUMBER('Registro Notas'!$D14:$R14)*'Registro Notas'!$D14:$R14)/SUMPRODUCT(('Matriz Criterios'!$H$48:$V$48="X")*ISNUMBER('Registro Notas'!$D14:$R14)))</f>
        <v/>
      </c>
      <c r="AT14" s="35">
        <f>IF(SUMPRODUCT(('Matriz Criterios'!$H$49:$V$49="X")*ISNUMBER('Registro Notas'!$D14:$R14))=0, "-", SUMPRODUCT(('Matriz Criterios'!$H$49:$V$49="X")*ISNUMBER('Registro Notas'!$D14:$R14)*'Registro Notas'!$D14:$R14)/SUMPRODUCT(('Matriz Criterios'!$H$49:$V$49="X")*ISNUMBER('Registro Notas'!$D14:$R14)))</f>
        <v/>
      </c>
      <c r="AU14" s="35">
        <f>IF(SUMPRODUCT(('Matriz Criterios'!$H$50:$V$50="X")*ISNUMBER('Registro Notas'!$D14:$R14))=0, "-", SUMPRODUCT(('Matriz Criterios'!$H$50:$V$50="X")*ISNUMBER('Registro Notas'!$D14:$R14)*'Registro Notas'!$D14:$R14)/SUMPRODUCT(('Matriz Criterios'!$H$50:$V$50="X")*ISNUMBER('Registro Notas'!$D14:$R14)))</f>
        <v/>
      </c>
      <c r="AV14" s="50">
        <f>AVERAGE(C14:AU14)</f>
        <v/>
      </c>
      <c r="AW14" s="51">
        <f>COUNTIF(C14:AU14, "&gt;=5")</f>
        <v/>
      </c>
    </row>
    <row r="15" ht="20" customHeight="1">
      <c r="A15" s="21" t="n">
        <v>10</v>
      </c>
      <c r="B15" s="38" t="inlineStr">
        <is>
          <t>Martín Vega, Javier</t>
        </is>
      </c>
      <c r="C15" s="39">
        <f>IF(SUMPRODUCT(('Matriz Criterios'!$H$6:$V$6="X")*ISNUMBER('Registro Notas'!$D15:$R15))=0, "-", SUMPRODUCT(('Matriz Criterios'!$H$6:$V$6="X")*ISNUMBER('Registro Notas'!$D15:$R15)*'Registro Notas'!$D15:$R15)/SUMPRODUCT(('Matriz Criterios'!$H$6:$V$6="X")*ISNUMBER('Registro Notas'!$D15:$R15)))</f>
        <v/>
      </c>
      <c r="D15" s="39">
        <f>IF(SUMPRODUCT(('Matriz Criterios'!$H$7:$V$7="X")*ISNUMBER('Registro Notas'!$D15:$R15))=0, "-", SUMPRODUCT(('Matriz Criterios'!$H$7:$V$7="X")*ISNUMBER('Registro Notas'!$D15:$R15)*'Registro Notas'!$D15:$R15)/SUMPRODUCT(('Matriz Criterios'!$H$7:$V$7="X")*ISNUMBER('Registro Notas'!$D15:$R15)))</f>
        <v/>
      </c>
      <c r="E15" s="39">
        <f>IF(SUMPRODUCT(('Matriz Criterios'!$H$8:$V$8="X")*ISNUMBER('Registro Notas'!$D15:$R15))=0, "-", SUMPRODUCT(('Matriz Criterios'!$H$8:$V$8="X")*ISNUMBER('Registro Notas'!$D15:$R15)*'Registro Notas'!$D15:$R15)/SUMPRODUCT(('Matriz Criterios'!$H$8:$V$8="X")*ISNUMBER('Registro Notas'!$D15:$R15)))</f>
        <v/>
      </c>
      <c r="F15" s="39">
        <f>IF(SUMPRODUCT(('Matriz Criterios'!$H$9:$V$9="X")*ISNUMBER('Registro Notas'!$D15:$R15))=0, "-", SUMPRODUCT(('Matriz Criterios'!$H$9:$V$9="X")*ISNUMBER('Registro Notas'!$D15:$R15)*'Registro Notas'!$D15:$R15)/SUMPRODUCT(('Matriz Criterios'!$H$9:$V$9="X")*ISNUMBER('Registro Notas'!$D15:$R15)))</f>
        <v/>
      </c>
      <c r="G15" s="39">
        <f>IF(SUMPRODUCT(('Matriz Criterios'!$H$10:$V$10="X")*ISNUMBER('Registro Notas'!$D15:$R15))=0, "-", SUMPRODUCT(('Matriz Criterios'!$H$10:$V$10="X")*ISNUMBER('Registro Notas'!$D15:$R15)*'Registro Notas'!$D15:$R15)/SUMPRODUCT(('Matriz Criterios'!$H$10:$V$10="X")*ISNUMBER('Registro Notas'!$D15:$R15)))</f>
        <v/>
      </c>
      <c r="H15" s="39">
        <f>IF(SUMPRODUCT(('Matriz Criterios'!$H$11:$V$11="X")*ISNUMBER('Registro Notas'!$D15:$R15))=0, "-", SUMPRODUCT(('Matriz Criterios'!$H$11:$V$11="X")*ISNUMBER('Registro Notas'!$D15:$R15)*'Registro Notas'!$D15:$R15)/SUMPRODUCT(('Matriz Criterios'!$H$11:$V$11="X")*ISNUMBER('Registro Notas'!$D15:$R15)))</f>
        <v/>
      </c>
      <c r="I15" s="39">
        <f>IF(SUMPRODUCT(('Matriz Criterios'!$H$12:$V$12="X")*ISNUMBER('Registro Notas'!$D15:$R15))=0, "-", SUMPRODUCT(('Matriz Criterios'!$H$12:$V$12="X")*ISNUMBER('Registro Notas'!$D15:$R15)*'Registro Notas'!$D15:$R15)/SUMPRODUCT(('Matriz Criterios'!$H$12:$V$12="X")*ISNUMBER('Registro Notas'!$D15:$R15)))</f>
        <v/>
      </c>
      <c r="J15" s="39">
        <f>IF(SUMPRODUCT(('Matriz Criterios'!$H$13:$V$13="X")*ISNUMBER('Registro Notas'!$D15:$R15))=0, "-", SUMPRODUCT(('Matriz Criterios'!$H$13:$V$13="X")*ISNUMBER('Registro Notas'!$D15:$R15)*'Registro Notas'!$D15:$R15)/SUMPRODUCT(('Matriz Criterios'!$H$13:$V$13="X")*ISNUMBER('Registro Notas'!$D15:$R15)))</f>
        <v/>
      </c>
      <c r="K15" s="39">
        <f>IF(SUMPRODUCT(('Matriz Criterios'!$H$14:$V$14="X")*ISNUMBER('Registro Notas'!$D15:$R15))=0, "-", SUMPRODUCT(('Matriz Criterios'!$H$14:$V$14="X")*ISNUMBER('Registro Notas'!$D15:$R15)*'Registro Notas'!$D15:$R15)/SUMPRODUCT(('Matriz Criterios'!$H$14:$V$14="X")*ISNUMBER('Registro Notas'!$D15:$R15)))</f>
        <v/>
      </c>
      <c r="L15" s="39">
        <f>IF(SUMPRODUCT(('Matriz Criterios'!$H$15:$V$15="X")*ISNUMBER('Registro Notas'!$D15:$R15))=0, "-", SUMPRODUCT(('Matriz Criterios'!$H$15:$V$15="X")*ISNUMBER('Registro Notas'!$D15:$R15)*'Registro Notas'!$D15:$R15)/SUMPRODUCT(('Matriz Criterios'!$H$15:$V$15="X")*ISNUMBER('Registro Notas'!$D15:$R15)))</f>
        <v/>
      </c>
      <c r="M15" s="39">
        <f>IF(SUMPRODUCT(('Matriz Criterios'!$H$16:$V$16="X")*ISNUMBER('Registro Notas'!$D15:$R15))=0, "-", SUMPRODUCT(('Matriz Criterios'!$H$16:$V$16="X")*ISNUMBER('Registro Notas'!$D15:$R15)*'Registro Notas'!$D15:$R15)/SUMPRODUCT(('Matriz Criterios'!$H$16:$V$16="X")*ISNUMBER('Registro Notas'!$D15:$R15)))</f>
        <v/>
      </c>
      <c r="N15" s="39">
        <f>IF(SUMPRODUCT(('Matriz Criterios'!$H$17:$V$17="X")*ISNUMBER('Registro Notas'!$D15:$R15))=0, "-", SUMPRODUCT(('Matriz Criterios'!$H$17:$V$17="X")*ISNUMBER('Registro Notas'!$D15:$R15)*'Registro Notas'!$D15:$R15)/SUMPRODUCT(('Matriz Criterios'!$H$17:$V$17="X")*ISNUMBER('Registro Notas'!$D15:$R15)))</f>
        <v/>
      </c>
      <c r="O15" s="39">
        <f>IF(SUMPRODUCT(('Matriz Criterios'!$H$18:$V$18="X")*ISNUMBER('Registro Notas'!$D15:$R15))=0, "-", SUMPRODUCT(('Matriz Criterios'!$H$18:$V$18="X")*ISNUMBER('Registro Notas'!$D15:$R15)*'Registro Notas'!$D15:$R15)/SUMPRODUCT(('Matriz Criterios'!$H$18:$V$18="X")*ISNUMBER('Registro Notas'!$D15:$R15)))</f>
        <v/>
      </c>
      <c r="P15" s="39">
        <f>IF(SUMPRODUCT(('Matriz Criterios'!$H$19:$V$19="X")*ISNUMBER('Registro Notas'!$D15:$R15))=0, "-", SUMPRODUCT(('Matriz Criterios'!$H$19:$V$19="X")*ISNUMBER('Registro Notas'!$D15:$R15)*'Registro Notas'!$D15:$R15)/SUMPRODUCT(('Matriz Criterios'!$H$19:$V$19="X")*ISNUMBER('Registro Notas'!$D15:$R15)))</f>
        <v/>
      </c>
      <c r="Q15" s="39">
        <f>IF(SUMPRODUCT(('Matriz Criterios'!$H$20:$V$20="X")*ISNUMBER('Registro Notas'!$D15:$R15))=0, "-", SUMPRODUCT(('Matriz Criterios'!$H$20:$V$20="X")*ISNUMBER('Registro Notas'!$D15:$R15)*'Registro Notas'!$D15:$R15)/SUMPRODUCT(('Matriz Criterios'!$H$20:$V$20="X")*ISNUMBER('Registro Notas'!$D15:$R15)))</f>
        <v/>
      </c>
      <c r="R15" s="39">
        <f>IF(SUMPRODUCT(('Matriz Criterios'!$H$21:$V$21="X")*ISNUMBER('Registro Notas'!$D15:$R15))=0, "-", SUMPRODUCT(('Matriz Criterios'!$H$21:$V$21="X")*ISNUMBER('Registro Notas'!$D15:$R15)*'Registro Notas'!$D15:$R15)/SUMPRODUCT(('Matriz Criterios'!$H$21:$V$21="X")*ISNUMBER('Registro Notas'!$D15:$R15)))</f>
        <v/>
      </c>
      <c r="S15" s="39">
        <f>IF(SUMPRODUCT(('Matriz Criterios'!$H$22:$V$22="X")*ISNUMBER('Registro Notas'!$D15:$R15))=0, "-", SUMPRODUCT(('Matriz Criterios'!$H$22:$V$22="X")*ISNUMBER('Registro Notas'!$D15:$R15)*'Registro Notas'!$D15:$R15)/SUMPRODUCT(('Matriz Criterios'!$H$22:$V$22="X")*ISNUMBER('Registro Notas'!$D15:$R15)))</f>
        <v/>
      </c>
      <c r="T15" s="39">
        <f>IF(SUMPRODUCT(('Matriz Criterios'!$H$23:$V$23="X")*ISNUMBER('Registro Notas'!$D15:$R15))=0, "-", SUMPRODUCT(('Matriz Criterios'!$H$23:$V$23="X")*ISNUMBER('Registro Notas'!$D15:$R15)*'Registro Notas'!$D15:$R15)/SUMPRODUCT(('Matriz Criterios'!$H$23:$V$23="X")*ISNUMBER('Registro Notas'!$D15:$R15)))</f>
        <v/>
      </c>
      <c r="U15" s="39">
        <f>IF(SUMPRODUCT(('Matriz Criterios'!$H$24:$V$24="X")*ISNUMBER('Registro Notas'!$D15:$R15))=0, "-", SUMPRODUCT(('Matriz Criterios'!$H$24:$V$24="X")*ISNUMBER('Registro Notas'!$D15:$R15)*'Registro Notas'!$D15:$R15)/SUMPRODUCT(('Matriz Criterios'!$H$24:$V$24="X")*ISNUMBER('Registro Notas'!$D15:$R15)))</f>
        <v/>
      </c>
      <c r="V15" s="39">
        <f>IF(SUMPRODUCT(('Matriz Criterios'!$H$25:$V$25="X")*ISNUMBER('Registro Notas'!$D15:$R15))=0, "-", SUMPRODUCT(('Matriz Criterios'!$H$25:$V$25="X")*ISNUMBER('Registro Notas'!$D15:$R15)*'Registro Notas'!$D15:$R15)/SUMPRODUCT(('Matriz Criterios'!$H$25:$V$25="X")*ISNUMBER('Registro Notas'!$D15:$R15)))</f>
        <v/>
      </c>
      <c r="W15" s="39">
        <f>IF(SUMPRODUCT(('Matriz Criterios'!$H$26:$V$26="X")*ISNUMBER('Registro Notas'!$D15:$R15))=0, "-", SUMPRODUCT(('Matriz Criterios'!$H$26:$V$26="X")*ISNUMBER('Registro Notas'!$D15:$R15)*'Registro Notas'!$D15:$R15)/SUMPRODUCT(('Matriz Criterios'!$H$26:$V$26="X")*ISNUMBER('Registro Notas'!$D15:$R15)))</f>
        <v/>
      </c>
      <c r="X15" s="39">
        <f>IF(SUMPRODUCT(('Matriz Criterios'!$H$27:$V$27="X")*ISNUMBER('Registro Notas'!$D15:$R15))=0, "-", SUMPRODUCT(('Matriz Criterios'!$H$27:$V$27="X")*ISNUMBER('Registro Notas'!$D15:$R15)*'Registro Notas'!$D15:$R15)/SUMPRODUCT(('Matriz Criterios'!$H$27:$V$27="X")*ISNUMBER('Registro Notas'!$D15:$R15)))</f>
        <v/>
      </c>
      <c r="Y15" s="39">
        <f>IF(SUMPRODUCT(('Matriz Criterios'!$H$28:$V$28="X")*ISNUMBER('Registro Notas'!$D15:$R15))=0, "-", SUMPRODUCT(('Matriz Criterios'!$H$28:$V$28="X")*ISNUMBER('Registro Notas'!$D15:$R15)*'Registro Notas'!$D15:$R15)/SUMPRODUCT(('Matriz Criterios'!$H$28:$V$28="X")*ISNUMBER('Registro Notas'!$D15:$R15)))</f>
        <v/>
      </c>
      <c r="Z15" s="39">
        <f>IF(SUMPRODUCT(('Matriz Criterios'!$H$29:$V$29="X")*ISNUMBER('Registro Notas'!$D15:$R15))=0, "-", SUMPRODUCT(('Matriz Criterios'!$H$29:$V$29="X")*ISNUMBER('Registro Notas'!$D15:$R15)*'Registro Notas'!$D15:$R15)/SUMPRODUCT(('Matriz Criterios'!$H$29:$V$29="X")*ISNUMBER('Registro Notas'!$D15:$R15)))</f>
        <v/>
      </c>
      <c r="AA15" s="39">
        <f>IF(SUMPRODUCT(('Matriz Criterios'!$H$30:$V$30="X")*ISNUMBER('Registro Notas'!$D15:$R15))=0, "-", SUMPRODUCT(('Matriz Criterios'!$H$30:$V$30="X")*ISNUMBER('Registro Notas'!$D15:$R15)*'Registro Notas'!$D15:$R15)/SUMPRODUCT(('Matriz Criterios'!$H$30:$V$30="X")*ISNUMBER('Registro Notas'!$D15:$R15)))</f>
        <v/>
      </c>
      <c r="AB15" s="39">
        <f>IF(SUMPRODUCT(('Matriz Criterios'!$H$31:$V$31="X")*ISNUMBER('Registro Notas'!$D15:$R15))=0, "-", SUMPRODUCT(('Matriz Criterios'!$H$31:$V$31="X")*ISNUMBER('Registro Notas'!$D15:$R15)*'Registro Notas'!$D15:$R15)/SUMPRODUCT(('Matriz Criterios'!$H$31:$V$31="X")*ISNUMBER('Registro Notas'!$D15:$R15)))</f>
        <v/>
      </c>
      <c r="AC15" s="39">
        <f>IF(SUMPRODUCT(('Matriz Criterios'!$H$32:$V$32="X")*ISNUMBER('Registro Notas'!$D15:$R15))=0, "-", SUMPRODUCT(('Matriz Criterios'!$H$32:$V$32="X")*ISNUMBER('Registro Notas'!$D15:$R15)*'Registro Notas'!$D15:$R15)/SUMPRODUCT(('Matriz Criterios'!$H$32:$V$32="X")*ISNUMBER('Registro Notas'!$D15:$R15)))</f>
        <v/>
      </c>
      <c r="AD15" s="39">
        <f>IF(SUMPRODUCT(('Matriz Criterios'!$H$33:$V$33="X")*ISNUMBER('Registro Notas'!$D15:$R15))=0, "-", SUMPRODUCT(('Matriz Criterios'!$H$33:$V$33="X")*ISNUMBER('Registro Notas'!$D15:$R15)*'Registro Notas'!$D15:$R15)/SUMPRODUCT(('Matriz Criterios'!$H$33:$V$33="X")*ISNUMBER('Registro Notas'!$D15:$R15)))</f>
        <v/>
      </c>
      <c r="AE15" s="39">
        <f>IF(SUMPRODUCT(('Matriz Criterios'!$H$34:$V$34="X")*ISNUMBER('Registro Notas'!$D15:$R15))=0, "-", SUMPRODUCT(('Matriz Criterios'!$H$34:$V$34="X")*ISNUMBER('Registro Notas'!$D15:$R15)*'Registro Notas'!$D15:$R15)/SUMPRODUCT(('Matriz Criterios'!$H$34:$V$34="X")*ISNUMBER('Registro Notas'!$D15:$R15)))</f>
        <v/>
      </c>
      <c r="AF15" s="39">
        <f>IF(SUMPRODUCT(('Matriz Criterios'!$H$35:$V$35="X")*ISNUMBER('Registro Notas'!$D15:$R15))=0, "-", SUMPRODUCT(('Matriz Criterios'!$H$35:$V$35="X")*ISNUMBER('Registro Notas'!$D15:$R15)*'Registro Notas'!$D15:$R15)/SUMPRODUCT(('Matriz Criterios'!$H$35:$V$35="X")*ISNUMBER('Registro Notas'!$D15:$R15)))</f>
        <v/>
      </c>
      <c r="AG15" s="39">
        <f>IF(SUMPRODUCT(('Matriz Criterios'!$H$36:$V$36="X")*ISNUMBER('Registro Notas'!$D15:$R15))=0, "-", SUMPRODUCT(('Matriz Criterios'!$H$36:$V$36="X")*ISNUMBER('Registro Notas'!$D15:$R15)*'Registro Notas'!$D15:$R15)/SUMPRODUCT(('Matriz Criterios'!$H$36:$V$36="X")*ISNUMBER('Registro Notas'!$D15:$R15)))</f>
        <v/>
      </c>
      <c r="AH15" s="39">
        <f>IF(SUMPRODUCT(('Matriz Criterios'!$H$37:$V$37="X")*ISNUMBER('Registro Notas'!$D15:$R15))=0, "-", SUMPRODUCT(('Matriz Criterios'!$H$37:$V$37="X")*ISNUMBER('Registro Notas'!$D15:$R15)*'Registro Notas'!$D15:$R15)/SUMPRODUCT(('Matriz Criterios'!$H$37:$V$37="X")*ISNUMBER('Registro Notas'!$D15:$R15)))</f>
        <v/>
      </c>
      <c r="AI15" s="39">
        <f>IF(SUMPRODUCT(('Matriz Criterios'!$H$38:$V$38="X")*ISNUMBER('Registro Notas'!$D15:$R15))=0, "-", SUMPRODUCT(('Matriz Criterios'!$H$38:$V$38="X")*ISNUMBER('Registro Notas'!$D15:$R15)*'Registro Notas'!$D15:$R15)/SUMPRODUCT(('Matriz Criterios'!$H$38:$V$38="X")*ISNUMBER('Registro Notas'!$D15:$R15)))</f>
        <v/>
      </c>
      <c r="AJ15" s="39">
        <f>IF(SUMPRODUCT(('Matriz Criterios'!$H$39:$V$39="X")*ISNUMBER('Registro Notas'!$D15:$R15))=0, "-", SUMPRODUCT(('Matriz Criterios'!$H$39:$V$39="X")*ISNUMBER('Registro Notas'!$D15:$R15)*'Registro Notas'!$D15:$R15)/SUMPRODUCT(('Matriz Criterios'!$H$39:$V$39="X")*ISNUMBER('Registro Notas'!$D15:$R15)))</f>
        <v/>
      </c>
      <c r="AK15" s="39">
        <f>IF(SUMPRODUCT(('Matriz Criterios'!$H$40:$V$40="X")*ISNUMBER('Registro Notas'!$D15:$R15))=0, "-", SUMPRODUCT(('Matriz Criterios'!$H$40:$V$40="X")*ISNUMBER('Registro Notas'!$D15:$R15)*'Registro Notas'!$D15:$R15)/SUMPRODUCT(('Matriz Criterios'!$H$40:$V$40="X")*ISNUMBER('Registro Notas'!$D15:$R15)))</f>
        <v/>
      </c>
      <c r="AL15" s="39">
        <f>IF(SUMPRODUCT(('Matriz Criterios'!$H$41:$V$41="X")*ISNUMBER('Registro Notas'!$D15:$R15))=0, "-", SUMPRODUCT(('Matriz Criterios'!$H$41:$V$41="X")*ISNUMBER('Registro Notas'!$D15:$R15)*'Registro Notas'!$D15:$R15)/SUMPRODUCT(('Matriz Criterios'!$H$41:$V$41="X")*ISNUMBER('Registro Notas'!$D15:$R15)))</f>
        <v/>
      </c>
      <c r="AM15" s="39">
        <f>IF(SUMPRODUCT(('Matriz Criterios'!$H$42:$V$42="X")*ISNUMBER('Registro Notas'!$D15:$R15))=0, "-", SUMPRODUCT(('Matriz Criterios'!$H$42:$V$42="X")*ISNUMBER('Registro Notas'!$D15:$R15)*'Registro Notas'!$D15:$R15)/SUMPRODUCT(('Matriz Criterios'!$H$42:$V$42="X")*ISNUMBER('Registro Notas'!$D15:$R15)))</f>
        <v/>
      </c>
      <c r="AN15" s="39">
        <f>IF(SUMPRODUCT(('Matriz Criterios'!$H$43:$V$43="X")*ISNUMBER('Registro Notas'!$D15:$R15))=0, "-", SUMPRODUCT(('Matriz Criterios'!$H$43:$V$43="X")*ISNUMBER('Registro Notas'!$D15:$R15)*'Registro Notas'!$D15:$R15)/SUMPRODUCT(('Matriz Criterios'!$H$43:$V$43="X")*ISNUMBER('Registro Notas'!$D15:$R15)))</f>
        <v/>
      </c>
      <c r="AO15" s="39">
        <f>IF(SUMPRODUCT(('Matriz Criterios'!$H$44:$V$44="X")*ISNUMBER('Registro Notas'!$D15:$R15))=0, "-", SUMPRODUCT(('Matriz Criterios'!$H$44:$V$44="X")*ISNUMBER('Registro Notas'!$D15:$R15)*'Registro Notas'!$D15:$R15)/SUMPRODUCT(('Matriz Criterios'!$H$44:$V$44="X")*ISNUMBER('Registro Notas'!$D15:$R15)))</f>
        <v/>
      </c>
      <c r="AP15" s="39">
        <f>IF(SUMPRODUCT(('Matriz Criterios'!$H$45:$V$45="X")*ISNUMBER('Registro Notas'!$D15:$R15))=0, "-", SUMPRODUCT(('Matriz Criterios'!$H$45:$V$45="X")*ISNUMBER('Registro Notas'!$D15:$R15)*'Registro Notas'!$D15:$R15)/SUMPRODUCT(('Matriz Criterios'!$H$45:$V$45="X")*ISNUMBER('Registro Notas'!$D15:$R15)))</f>
        <v/>
      </c>
      <c r="AQ15" s="39">
        <f>IF(SUMPRODUCT(('Matriz Criterios'!$H$46:$V$46="X")*ISNUMBER('Registro Notas'!$D15:$R15))=0, "-", SUMPRODUCT(('Matriz Criterios'!$H$46:$V$46="X")*ISNUMBER('Registro Notas'!$D15:$R15)*'Registro Notas'!$D15:$R15)/SUMPRODUCT(('Matriz Criterios'!$H$46:$V$46="X")*ISNUMBER('Registro Notas'!$D15:$R15)))</f>
        <v/>
      </c>
      <c r="AR15" s="39">
        <f>IF(SUMPRODUCT(('Matriz Criterios'!$H$47:$V$47="X")*ISNUMBER('Registro Notas'!$D15:$R15))=0, "-", SUMPRODUCT(('Matriz Criterios'!$H$47:$V$47="X")*ISNUMBER('Registro Notas'!$D15:$R15)*'Registro Notas'!$D15:$R15)/SUMPRODUCT(('Matriz Criterios'!$H$47:$V$47="X")*ISNUMBER('Registro Notas'!$D15:$R15)))</f>
        <v/>
      </c>
      <c r="AS15" s="39">
        <f>IF(SUMPRODUCT(('Matriz Criterios'!$H$48:$V$48="X")*ISNUMBER('Registro Notas'!$D15:$R15))=0, "-", SUMPRODUCT(('Matriz Criterios'!$H$48:$V$48="X")*ISNUMBER('Registro Notas'!$D15:$R15)*'Registro Notas'!$D15:$R15)/SUMPRODUCT(('Matriz Criterios'!$H$48:$V$48="X")*ISNUMBER('Registro Notas'!$D15:$R15)))</f>
        <v/>
      </c>
      <c r="AT15" s="39">
        <f>IF(SUMPRODUCT(('Matriz Criterios'!$H$49:$V$49="X")*ISNUMBER('Registro Notas'!$D15:$R15))=0, "-", SUMPRODUCT(('Matriz Criterios'!$H$49:$V$49="X")*ISNUMBER('Registro Notas'!$D15:$R15)*'Registro Notas'!$D15:$R15)/SUMPRODUCT(('Matriz Criterios'!$H$49:$V$49="X")*ISNUMBER('Registro Notas'!$D15:$R15)))</f>
        <v/>
      </c>
      <c r="AU15" s="39">
        <f>IF(SUMPRODUCT(('Matriz Criterios'!$H$50:$V$50="X")*ISNUMBER('Registro Notas'!$D15:$R15))=0, "-", SUMPRODUCT(('Matriz Criterios'!$H$50:$V$50="X")*ISNUMBER('Registro Notas'!$D15:$R15)*'Registro Notas'!$D15:$R15)/SUMPRODUCT(('Matriz Criterios'!$H$50:$V$50="X")*ISNUMBER('Registro Notas'!$D15:$R15)))</f>
        <v/>
      </c>
      <c r="AV15" s="50">
        <f>AVERAGE(C15:AU15)</f>
        <v/>
      </c>
      <c r="AW15" s="51">
        <f>COUNTIF(C15:AU15, "&gt;=5")</f>
        <v/>
      </c>
    </row>
    <row r="16" ht="20" customHeight="1">
      <c r="A16" s="13" t="n">
        <v>11</v>
      </c>
      <c r="B16" s="34" t="inlineStr">
        <is>
          <t>Navarro Gil, Ana</t>
        </is>
      </c>
      <c r="C16" s="35">
        <f>IF(SUMPRODUCT(('Matriz Criterios'!$H$6:$V$6="X")*ISNUMBER('Registro Notas'!$D16:$R16))=0, "-", SUMPRODUCT(('Matriz Criterios'!$H$6:$V$6="X")*ISNUMBER('Registro Notas'!$D16:$R16)*'Registro Notas'!$D16:$R16)/SUMPRODUCT(('Matriz Criterios'!$H$6:$V$6="X")*ISNUMBER('Registro Notas'!$D16:$R16)))</f>
        <v/>
      </c>
      <c r="D16" s="35">
        <f>IF(SUMPRODUCT(('Matriz Criterios'!$H$7:$V$7="X")*ISNUMBER('Registro Notas'!$D16:$R16))=0, "-", SUMPRODUCT(('Matriz Criterios'!$H$7:$V$7="X")*ISNUMBER('Registro Notas'!$D16:$R16)*'Registro Notas'!$D16:$R16)/SUMPRODUCT(('Matriz Criterios'!$H$7:$V$7="X")*ISNUMBER('Registro Notas'!$D16:$R16)))</f>
        <v/>
      </c>
      <c r="E16" s="35">
        <f>IF(SUMPRODUCT(('Matriz Criterios'!$H$8:$V$8="X")*ISNUMBER('Registro Notas'!$D16:$R16))=0, "-", SUMPRODUCT(('Matriz Criterios'!$H$8:$V$8="X")*ISNUMBER('Registro Notas'!$D16:$R16)*'Registro Notas'!$D16:$R16)/SUMPRODUCT(('Matriz Criterios'!$H$8:$V$8="X")*ISNUMBER('Registro Notas'!$D16:$R16)))</f>
        <v/>
      </c>
      <c r="F16" s="35">
        <f>IF(SUMPRODUCT(('Matriz Criterios'!$H$9:$V$9="X")*ISNUMBER('Registro Notas'!$D16:$R16))=0, "-", SUMPRODUCT(('Matriz Criterios'!$H$9:$V$9="X")*ISNUMBER('Registro Notas'!$D16:$R16)*'Registro Notas'!$D16:$R16)/SUMPRODUCT(('Matriz Criterios'!$H$9:$V$9="X")*ISNUMBER('Registro Notas'!$D16:$R16)))</f>
        <v/>
      </c>
      <c r="G16" s="35">
        <f>IF(SUMPRODUCT(('Matriz Criterios'!$H$10:$V$10="X")*ISNUMBER('Registro Notas'!$D16:$R16))=0, "-", SUMPRODUCT(('Matriz Criterios'!$H$10:$V$10="X")*ISNUMBER('Registro Notas'!$D16:$R16)*'Registro Notas'!$D16:$R16)/SUMPRODUCT(('Matriz Criterios'!$H$10:$V$10="X")*ISNUMBER('Registro Notas'!$D16:$R16)))</f>
        <v/>
      </c>
      <c r="H16" s="35">
        <f>IF(SUMPRODUCT(('Matriz Criterios'!$H$11:$V$11="X")*ISNUMBER('Registro Notas'!$D16:$R16))=0, "-", SUMPRODUCT(('Matriz Criterios'!$H$11:$V$11="X")*ISNUMBER('Registro Notas'!$D16:$R16)*'Registro Notas'!$D16:$R16)/SUMPRODUCT(('Matriz Criterios'!$H$11:$V$11="X")*ISNUMBER('Registro Notas'!$D16:$R16)))</f>
        <v/>
      </c>
      <c r="I16" s="35">
        <f>IF(SUMPRODUCT(('Matriz Criterios'!$H$12:$V$12="X")*ISNUMBER('Registro Notas'!$D16:$R16))=0, "-", SUMPRODUCT(('Matriz Criterios'!$H$12:$V$12="X")*ISNUMBER('Registro Notas'!$D16:$R16)*'Registro Notas'!$D16:$R16)/SUMPRODUCT(('Matriz Criterios'!$H$12:$V$12="X")*ISNUMBER('Registro Notas'!$D16:$R16)))</f>
        <v/>
      </c>
      <c r="J16" s="35">
        <f>IF(SUMPRODUCT(('Matriz Criterios'!$H$13:$V$13="X")*ISNUMBER('Registro Notas'!$D16:$R16))=0, "-", SUMPRODUCT(('Matriz Criterios'!$H$13:$V$13="X")*ISNUMBER('Registro Notas'!$D16:$R16)*'Registro Notas'!$D16:$R16)/SUMPRODUCT(('Matriz Criterios'!$H$13:$V$13="X")*ISNUMBER('Registro Notas'!$D16:$R16)))</f>
        <v/>
      </c>
      <c r="K16" s="35">
        <f>IF(SUMPRODUCT(('Matriz Criterios'!$H$14:$V$14="X")*ISNUMBER('Registro Notas'!$D16:$R16))=0, "-", SUMPRODUCT(('Matriz Criterios'!$H$14:$V$14="X")*ISNUMBER('Registro Notas'!$D16:$R16)*'Registro Notas'!$D16:$R16)/SUMPRODUCT(('Matriz Criterios'!$H$14:$V$14="X")*ISNUMBER('Registro Notas'!$D16:$R16)))</f>
        <v/>
      </c>
      <c r="L16" s="35">
        <f>IF(SUMPRODUCT(('Matriz Criterios'!$H$15:$V$15="X")*ISNUMBER('Registro Notas'!$D16:$R16))=0, "-", SUMPRODUCT(('Matriz Criterios'!$H$15:$V$15="X")*ISNUMBER('Registro Notas'!$D16:$R16)*'Registro Notas'!$D16:$R16)/SUMPRODUCT(('Matriz Criterios'!$H$15:$V$15="X")*ISNUMBER('Registro Notas'!$D16:$R16)))</f>
        <v/>
      </c>
      <c r="M16" s="35">
        <f>IF(SUMPRODUCT(('Matriz Criterios'!$H$16:$V$16="X")*ISNUMBER('Registro Notas'!$D16:$R16))=0, "-", SUMPRODUCT(('Matriz Criterios'!$H$16:$V$16="X")*ISNUMBER('Registro Notas'!$D16:$R16)*'Registro Notas'!$D16:$R16)/SUMPRODUCT(('Matriz Criterios'!$H$16:$V$16="X")*ISNUMBER('Registro Notas'!$D16:$R16)))</f>
        <v/>
      </c>
      <c r="N16" s="35">
        <f>IF(SUMPRODUCT(('Matriz Criterios'!$H$17:$V$17="X")*ISNUMBER('Registro Notas'!$D16:$R16))=0, "-", SUMPRODUCT(('Matriz Criterios'!$H$17:$V$17="X")*ISNUMBER('Registro Notas'!$D16:$R16)*'Registro Notas'!$D16:$R16)/SUMPRODUCT(('Matriz Criterios'!$H$17:$V$17="X")*ISNUMBER('Registro Notas'!$D16:$R16)))</f>
        <v/>
      </c>
      <c r="O16" s="35">
        <f>IF(SUMPRODUCT(('Matriz Criterios'!$H$18:$V$18="X")*ISNUMBER('Registro Notas'!$D16:$R16))=0, "-", SUMPRODUCT(('Matriz Criterios'!$H$18:$V$18="X")*ISNUMBER('Registro Notas'!$D16:$R16)*'Registro Notas'!$D16:$R16)/SUMPRODUCT(('Matriz Criterios'!$H$18:$V$18="X")*ISNUMBER('Registro Notas'!$D16:$R16)))</f>
        <v/>
      </c>
      <c r="P16" s="35">
        <f>IF(SUMPRODUCT(('Matriz Criterios'!$H$19:$V$19="X")*ISNUMBER('Registro Notas'!$D16:$R16))=0, "-", SUMPRODUCT(('Matriz Criterios'!$H$19:$V$19="X")*ISNUMBER('Registro Notas'!$D16:$R16)*'Registro Notas'!$D16:$R16)/SUMPRODUCT(('Matriz Criterios'!$H$19:$V$19="X")*ISNUMBER('Registro Notas'!$D16:$R16)))</f>
        <v/>
      </c>
      <c r="Q16" s="35">
        <f>IF(SUMPRODUCT(('Matriz Criterios'!$H$20:$V$20="X")*ISNUMBER('Registro Notas'!$D16:$R16))=0, "-", SUMPRODUCT(('Matriz Criterios'!$H$20:$V$20="X")*ISNUMBER('Registro Notas'!$D16:$R16)*'Registro Notas'!$D16:$R16)/SUMPRODUCT(('Matriz Criterios'!$H$20:$V$20="X")*ISNUMBER('Registro Notas'!$D16:$R16)))</f>
        <v/>
      </c>
      <c r="R16" s="35">
        <f>IF(SUMPRODUCT(('Matriz Criterios'!$H$21:$V$21="X")*ISNUMBER('Registro Notas'!$D16:$R16))=0, "-", SUMPRODUCT(('Matriz Criterios'!$H$21:$V$21="X")*ISNUMBER('Registro Notas'!$D16:$R16)*'Registro Notas'!$D16:$R16)/SUMPRODUCT(('Matriz Criterios'!$H$21:$V$21="X")*ISNUMBER('Registro Notas'!$D16:$R16)))</f>
        <v/>
      </c>
      <c r="S16" s="35">
        <f>IF(SUMPRODUCT(('Matriz Criterios'!$H$22:$V$22="X")*ISNUMBER('Registro Notas'!$D16:$R16))=0, "-", SUMPRODUCT(('Matriz Criterios'!$H$22:$V$22="X")*ISNUMBER('Registro Notas'!$D16:$R16)*'Registro Notas'!$D16:$R16)/SUMPRODUCT(('Matriz Criterios'!$H$22:$V$22="X")*ISNUMBER('Registro Notas'!$D16:$R16)))</f>
        <v/>
      </c>
      <c r="T16" s="35">
        <f>IF(SUMPRODUCT(('Matriz Criterios'!$H$23:$V$23="X")*ISNUMBER('Registro Notas'!$D16:$R16))=0, "-", SUMPRODUCT(('Matriz Criterios'!$H$23:$V$23="X")*ISNUMBER('Registro Notas'!$D16:$R16)*'Registro Notas'!$D16:$R16)/SUMPRODUCT(('Matriz Criterios'!$H$23:$V$23="X")*ISNUMBER('Registro Notas'!$D16:$R16)))</f>
        <v/>
      </c>
      <c r="U16" s="35">
        <f>IF(SUMPRODUCT(('Matriz Criterios'!$H$24:$V$24="X")*ISNUMBER('Registro Notas'!$D16:$R16))=0, "-", SUMPRODUCT(('Matriz Criterios'!$H$24:$V$24="X")*ISNUMBER('Registro Notas'!$D16:$R16)*'Registro Notas'!$D16:$R16)/SUMPRODUCT(('Matriz Criterios'!$H$24:$V$24="X")*ISNUMBER('Registro Notas'!$D16:$R16)))</f>
        <v/>
      </c>
      <c r="V16" s="35">
        <f>IF(SUMPRODUCT(('Matriz Criterios'!$H$25:$V$25="X")*ISNUMBER('Registro Notas'!$D16:$R16))=0, "-", SUMPRODUCT(('Matriz Criterios'!$H$25:$V$25="X")*ISNUMBER('Registro Notas'!$D16:$R16)*'Registro Notas'!$D16:$R16)/SUMPRODUCT(('Matriz Criterios'!$H$25:$V$25="X")*ISNUMBER('Registro Notas'!$D16:$R16)))</f>
        <v/>
      </c>
      <c r="W16" s="35">
        <f>IF(SUMPRODUCT(('Matriz Criterios'!$H$26:$V$26="X")*ISNUMBER('Registro Notas'!$D16:$R16))=0, "-", SUMPRODUCT(('Matriz Criterios'!$H$26:$V$26="X")*ISNUMBER('Registro Notas'!$D16:$R16)*'Registro Notas'!$D16:$R16)/SUMPRODUCT(('Matriz Criterios'!$H$26:$V$26="X")*ISNUMBER('Registro Notas'!$D16:$R16)))</f>
        <v/>
      </c>
      <c r="X16" s="35">
        <f>IF(SUMPRODUCT(('Matriz Criterios'!$H$27:$V$27="X")*ISNUMBER('Registro Notas'!$D16:$R16))=0, "-", SUMPRODUCT(('Matriz Criterios'!$H$27:$V$27="X")*ISNUMBER('Registro Notas'!$D16:$R16)*'Registro Notas'!$D16:$R16)/SUMPRODUCT(('Matriz Criterios'!$H$27:$V$27="X")*ISNUMBER('Registro Notas'!$D16:$R16)))</f>
        <v/>
      </c>
      <c r="Y16" s="35">
        <f>IF(SUMPRODUCT(('Matriz Criterios'!$H$28:$V$28="X")*ISNUMBER('Registro Notas'!$D16:$R16))=0, "-", SUMPRODUCT(('Matriz Criterios'!$H$28:$V$28="X")*ISNUMBER('Registro Notas'!$D16:$R16)*'Registro Notas'!$D16:$R16)/SUMPRODUCT(('Matriz Criterios'!$H$28:$V$28="X")*ISNUMBER('Registro Notas'!$D16:$R16)))</f>
        <v/>
      </c>
      <c r="Z16" s="35">
        <f>IF(SUMPRODUCT(('Matriz Criterios'!$H$29:$V$29="X")*ISNUMBER('Registro Notas'!$D16:$R16))=0, "-", SUMPRODUCT(('Matriz Criterios'!$H$29:$V$29="X")*ISNUMBER('Registro Notas'!$D16:$R16)*'Registro Notas'!$D16:$R16)/SUMPRODUCT(('Matriz Criterios'!$H$29:$V$29="X")*ISNUMBER('Registro Notas'!$D16:$R16)))</f>
        <v/>
      </c>
      <c r="AA16" s="35">
        <f>IF(SUMPRODUCT(('Matriz Criterios'!$H$30:$V$30="X")*ISNUMBER('Registro Notas'!$D16:$R16))=0, "-", SUMPRODUCT(('Matriz Criterios'!$H$30:$V$30="X")*ISNUMBER('Registro Notas'!$D16:$R16)*'Registro Notas'!$D16:$R16)/SUMPRODUCT(('Matriz Criterios'!$H$30:$V$30="X")*ISNUMBER('Registro Notas'!$D16:$R16)))</f>
        <v/>
      </c>
      <c r="AB16" s="35">
        <f>IF(SUMPRODUCT(('Matriz Criterios'!$H$31:$V$31="X")*ISNUMBER('Registro Notas'!$D16:$R16))=0, "-", SUMPRODUCT(('Matriz Criterios'!$H$31:$V$31="X")*ISNUMBER('Registro Notas'!$D16:$R16)*'Registro Notas'!$D16:$R16)/SUMPRODUCT(('Matriz Criterios'!$H$31:$V$31="X")*ISNUMBER('Registro Notas'!$D16:$R16)))</f>
        <v/>
      </c>
      <c r="AC16" s="35">
        <f>IF(SUMPRODUCT(('Matriz Criterios'!$H$32:$V$32="X")*ISNUMBER('Registro Notas'!$D16:$R16))=0, "-", SUMPRODUCT(('Matriz Criterios'!$H$32:$V$32="X")*ISNUMBER('Registro Notas'!$D16:$R16)*'Registro Notas'!$D16:$R16)/SUMPRODUCT(('Matriz Criterios'!$H$32:$V$32="X")*ISNUMBER('Registro Notas'!$D16:$R16)))</f>
        <v/>
      </c>
      <c r="AD16" s="35">
        <f>IF(SUMPRODUCT(('Matriz Criterios'!$H$33:$V$33="X")*ISNUMBER('Registro Notas'!$D16:$R16))=0, "-", SUMPRODUCT(('Matriz Criterios'!$H$33:$V$33="X")*ISNUMBER('Registro Notas'!$D16:$R16)*'Registro Notas'!$D16:$R16)/SUMPRODUCT(('Matriz Criterios'!$H$33:$V$33="X")*ISNUMBER('Registro Notas'!$D16:$R16)))</f>
        <v/>
      </c>
      <c r="AE16" s="35">
        <f>IF(SUMPRODUCT(('Matriz Criterios'!$H$34:$V$34="X")*ISNUMBER('Registro Notas'!$D16:$R16))=0, "-", SUMPRODUCT(('Matriz Criterios'!$H$34:$V$34="X")*ISNUMBER('Registro Notas'!$D16:$R16)*'Registro Notas'!$D16:$R16)/SUMPRODUCT(('Matriz Criterios'!$H$34:$V$34="X")*ISNUMBER('Registro Notas'!$D16:$R16)))</f>
        <v/>
      </c>
      <c r="AF16" s="35">
        <f>IF(SUMPRODUCT(('Matriz Criterios'!$H$35:$V$35="X")*ISNUMBER('Registro Notas'!$D16:$R16))=0, "-", SUMPRODUCT(('Matriz Criterios'!$H$35:$V$35="X")*ISNUMBER('Registro Notas'!$D16:$R16)*'Registro Notas'!$D16:$R16)/SUMPRODUCT(('Matriz Criterios'!$H$35:$V$35="X")*ISNUMBER('Registro Notas'!$D16:$R16)))</f>
        <v/>
      </c>
      <c r="AG16" s="35">
        <f>IF(SUMPRODUCT(('Matriz Criterios'!$H$36:$V$36="X")*ISNUMBER('Registro Notas'!$D16:$R16))=0, "-", SUMPRODUCT(('Matriz Criterios'!$H$36:$V$36="X")*ISNUMBER('Registro Notas'!$D16:$R16)*'Registro Notas'!$D16:$R16)/SUMPRODUCT(('Matriz Criterios'!$H$36:$V$36="X")*ISNUMBER('Registro Notas'!$D16:$R16)))</f>
        <v/>
      </c>
      <c r="AH16" s="35">
        <f>IF(SUMPRODUCT(('Matriz Criterios'!$H$37:$V$37="X")*ISNUMBER('Registro Notas'!$D16:$R16))=0, "-", SUMPRODUCT(('Matriz Criterios'!$H$37:$V$37="X")*ISNUMBER('Registro Notas'!$D16:$R16)*'Registro Notas'!$D16:$R16)/SUMPRODUCT(('Matriz Criterios'!$H$37:$V$37="X")*ISNUMBER('Registro Notas'!$D16:$R16)))</f>
        <v/>
      </c>
      <c r="AI16" s="35">
        <f>IF(SUMPRODUCT(('Matriz Criterios'!$H$38:$V$38="X")*ISNUMBER('Registro Notas'!$D16:$R16))=0, "-", SUMPRODUCT(('Matriz Criterios'!$H$38:$V$38="X")*ISNUMBER('Registro Notas'!$D16:$R16)*'Registro Notas'!$D16:$R16)/SUMPRODUCT(('Matriz Criterios'!$H$38:$V$38="X")*ISNUMBER('Registro Notas'!$D16:$R16)))</f>
        <v/>
      </c>
      <c r="AJ16" s="35">
        <f>IF(SUMPRODUCT(('Matriz Criterios'!$H$39:$V$39="X")*ISNUMBER('Registro Notas'!$D16:$R16))=0, "-", SUMPRODUCT(('Matriz Criterios'!$H$39:$V$39="X")*ISNUMBER('Registro Notas'!$D16:$R16)*'Registro Notas'!$D16:$R16)/SUMPRODUCT(('Matriz Criterios'!$H$39:$V$39="X")*ISNUMBER('Registro Notas'!$D16:$R16)))</f>
        <v/>
      </c>
      <c r="AK16" s="35">
        <f>IF(SUMPRODUCT(('Matriz Criterios'!$H$40:$V$40="X")*ISNUMBER('Registro Notas'!$D16:$R16))=0, "-", SUMPRODUCT(('Matriz Criterios'!$H$40:$V$40="X")*ISNUMBER('Registro Notas'!$D16:$R16)*'Registro Notas'!$D16:$R16)/SUMPRODUCT(('Matriz Criterios'!$H$40:$V$40="X")*ISNUMBER('Registro Notas'!$D16:$R16)))</f>
        <v/>
      </c>
      <c r="AL16" s="35">
        <f>IF(SUMPRODUCT(('Matriz Criterios'!$H$41:$V$41="X")*ISNUMBER('Registro Notas'!$D16:$R16))=0, "-", SUMPRODUCT(('Matriz Criterios'!$H$41:$V$41="X")*ISNUMBER('Registro Notas'!$D16:$R16)*'Registro Notas'!$D16:$R16)/SUMPRODUCT(('Matriz Criterios'!$H$41:$V$41="X")*ISNUMBER('Registro Notas'!$D16:$R16)))</f>
        <v/>
      </c>
      <c r="AM16" s="35">
        <f>IF(SUMPRODUCT(('Matriz Criterios'!$H$42:$V$42="X")*ISNUMBER('Registro Notas'!$D16:$R16))=0, "-", SUMPRODUCT(('Matriz Criterios'!$H$42:$V$42="X")*ISNUMBER('Registro Notas'!$D16:$R16)*'Registro Notas'!$D16:$R16)/SUMPRODUCT(('Matriz Criterios'!$H$42:$V$42="X")*ISNUMBER('Registro Notas'!$D16:$R16)))</f>
        <v/>
      </c>
      <c r="AN16" s="35">
        <f>IF(SUMPRODUCT(('Matriz Criterios'!$H$43:$V$43="X")*ISNUMBER('Registro Notas'!$D16:$R16))=0, "-", SUMPRODUCT(('Matriz Criterios'!$H$43:$V$43="X")*ISNUMBER('Registro Notas'!$D16:$R16)*'Registro Notas'!$D16:$R16)/SUMPRODUCT(('Matriz Criterios'!$H$43:$V$43="X")*ISNUMBER('Registro Notas'!$D16:$R16)))</f>
        <v/>
      </c>
      <c r="AO16" s="35">
        <f>IF(SUMPRODUCT(('Matriz Criterios'!$H$44:$V$44="X")*ISNUMBER('Registro Notas'!$D16:$R16))=0, "-", SUMPRODUCT(('Matriz Criterios'!$H$44:$V$44="X")*ISNUMBER('Registro Notas'!$D16:$R16)*'Registro Notas'!$D16:$R16)/SUMPRODUCT(('Matriz Criterios'!$H$44:$V$44="X")*ISNUMBER('Registro Notas'!$D16:$R16)))</f>
        <v/>
      </c>
      <c r="AP16" s="35">
        <f>IF(SUMPRODUCT(('Matriz Criterios'!$H$45:$V$45="X")*ISNUMBER('Registro Notas'!$D16:$R16))=0, "-", SUMPRODUCT(('Matriz Criterios'!$H$45:$V$45="X")*ISNUMBER('Registro Notas'!$D16:$R16)*'Registro Notas'!$D16:$R16)/SUMPRODUCT(('Matriz Criterios'!$H$45:$V$45="X")*ISNUMBER('Registro Notas'!$D16:$R16)))</f>
        <v/>
      </c>
      <c r="AQ16" s="35">
        <f>IF(SUMPRODUCT(('Matriz Criterios'!$H$46:$V$46="X")*ISNUMBER('Registro Notas'!$D16:$R16))=0, "-", SUMPRODUCT(('Matriz Criterios'!$H$46:$V$46="X")*ISNUMBER('Registro Notas'!$D16:$R16)*'Registro Notas'!$D16:$R16)/SUMPRODUCT(('Matriz Criterios'!$H$46:$V$46="X")*ISNUMBER('Registro Notas'!$D16:$R16)))</f>
        <v/>
      </c>
      <c r="AR16" s="35">
        <f>IF(SUMPRODUCT(('Matriz Criterios'!$H$47:$V$47="X")*ISNUMBER('Registro Notas'!$D16:$R16))=0, "-", SUMPRODUCT(('Matriz Criterios'!$H$47:$V$47="X")*ISNUMBER('Registro Notas'!$D16:$R16)*'Registro Notas'!$D16:$R16)/SUMPRODUCT(('Matriz Criterios'!$H$47:$V$47="X")*ISNUMBER('Registro Notas'!$D16:$R16)))</f>
        <v/>
      </c>
      <c r="AS16" s="35">
        <f>IF(SUMPRODUCT(('Matriz Criterios'!$H$48:$V$48="X")*ISNUMBER('Registro Notas'!$D16:$R16))=0, "-", SUMPRODUCT(('Matriz Criterios'!$H$48:$V$48="X")*ISNUMBER('Registro Notas'!$D16:$R16)*'Registro Notas'!$D16:$R16)/SUMPRODUCT(('Matriz Criterios'!$H$48:$V$48="X")*ISNUMBER('Registro Notas'!$D16:$R16)))</f>
        <v/>
      </c>
      <c r="AT16" s="35">
        <f>IF(SUMPRODUCT(('Matriz Criterios'!$H$49:$V$49="X")*ISNUMBER('Registro Notas'!$D16:$R16))=0, "-", SUMPRODUCT(('Matriz Criterios'!$H$49:$V$49="X")*ISNUMBER('Registro Notas'!$D16:$R16)*'Registro Notas'!$D16:$R16)/SUMPRODUCT(('Matriz Criterios'!$H$49:$V$49="X")*ISNUMBER('Registro Notas'!$D16:$R16)))</f>
        <v/>
      </c>
      <c r="AU16" s="35">
        <f>IF(SUMPRODUCT(('Matriz Criterios'!$H$50:$V$50="X")*ISNUMBER('Registro Notas'!$D16:$R16))=0, "-", SUMPRODUCT(('Matriz Criterios'!$H$50:$V$50="X")*ISNUMBER('Registro Notas'!$D16:$R16)*'Registro Notas'!$D16:$R16)/SUMPRODUCT(('Matriz Criterios'!$H$50:$V$50="X")*ISNUMBER('Registro Notas'!$D16:$R16)))</f>
        <v/>
      </c>
      <c r="AV16" s="50">
        <f>AVERAGE(C16:AU16)</f>
        <v/>
      </c>
      <c r="AW16" s="51">
        <f>COUNTIF(C16:AU16, "&gt;=5")</f>
        <v/>
      </c>
    </row>
    <row r="17" ht="20" customHeight="1">
      <c r="A17" s="21" t="n">
        <v>12</v>
      </c>
      <c r="B17" s="38" t="inlineStr">
        <is>
          <t>Pérez Rubio, Álvaro</t>
        </is>
      </c>
      <c r="C17" s="39">
        <f>IF(SUMPRODUCT(('Matriz Criterios'!$H$6:$V$6="X")*ISNUMBER('Registro Notas'!$D17:$R17))=0, "-", SUMPRODUCT(('Matriz Criterios'!$H$6:$V$6="X")*ISNUMBER('Registro Notas'!$D17:$R17)*'Registro Notas'!$D17:$R17)/SUMPRODUCT(('Matriz Criterios'!$H$6:$V$6="X")*ISNUMBER('Registro Notas'!$D17:$R17)))</f>
        <v/>
      </c>
      <c r="D17" s="39">
        <f>IF(SUMPRODUCT(('Matriz Criterios'!$H$7:$V$7="X")*ISNUMBER('Registro Notas'!$D17:$R17))=0, "-", SUMPRODUCT(('Matriz Criterios'!$H$7:$V$7="X")*ISNUMBER('Registro Notas'!$D17:$R17)*'Registro Notas'!$D17:$R17)/SUMPRODUCT(('Matriz Criterios'!$H$7:$V$7="X")*ISNUMBER('Registro Notas'!$D17:$R17)))</f>
        <v/>
      </c>
      <c r="E17" s="39">
        <f>IF(SUMPRODUCT(('Matriz Criterios'!$H$8:$V$8="X")*ISNUMBER('Registro Notas'!$D17:$R17))=0, "-", SUMPRODUCT(('Matriz Criterios'!$H$8:$V$8="X")*ISNUMBER('Registro Notas'!$D17:$R17)*'Registro Notas'!$D17:$R17)/SUMPRODUCT(('Matriz Criterios'!$H$8:$V$8="X")*ISNUMBER('Registro Notas'!$D17:$R17)))</f>
        <v/>
      </c>
      <c r="F17" s="39">
        <f>IF(SUMPRODUCT(('Matriz Criterios'!$H$9:$V$9="X")*ISNUMBER('Registro Notas'!$D17:$R17))=0, "-", SUMPRODUCT(('Matriz Criterios'!$H$9:$V$9="X")*ISNUMBER('Registro Notas'!$D17:$R17)*'Registro Notas'!$D17:$R17)/SUMPRODUCT(('Matriz Criterios'!$H$9:$V$9="X")*ISNUMBER('Registro Notas'!$D17:$R17)))</f>
        <v/>
      </c>
      <c r="G17" s="39">
        <f>IF(SUMPRODUCT(('Matriz Criterios'!$H$10:$V$10="X")*ISNUMBER('Registro Notas'!$D17:$R17))=0, "-", SUMPRODUCT(('Matriz Criterios'!$H$10:$V$10="X")*ISNUMBER('Registro Notas'!$D17:$R17)*'Registro Notas'!$D17:$R17)/SUMPRODUCT(('Matriz Criterios'!$H$10:$V$10="X")*ISNUMBER('Registro Notas'!$D17:$R17)))</f>
        <v/>
      </c>
      <c r="H17" s="39">
        <f>IF(SUMPRODUCT(('Matriz Criterios'!$H$11:$V$11="X")*ISNUMBER('Registro Notas'!$D17:$R17))=0, "-", SUMPRODUCT(('Matriz Criterios'!$H$11:$V$11="X")*ISNUMBER('Registro Notas'!$D17:$R17)*'Registro Notas'!$D17:$R17)/SUMPRODUCT(('Matriz Criterios'!$H$11:$V$11="X")*ISNUMBER('Registro Notas'!$D17:$R17)))</f>
        <v/>
      </c>
      <c r="I17" s="39">
        <f>IF(SUMPRODUCT(('Matriz Criterios'!$H$12:$V$12="X")*ISNUMBER('Registro Notas'!$D17:$R17))=0, "-", SUMPRODUCT(('Matriz Criterios'!$H$12:$V$12="X")*ISNUMBER('Registro Notas'!$D17:$R17)*'Registro Notas'!$D17:$R17)/SUMPRODUCT(('Matriz Criterios'!$H$12:$V$12="X")*ISNUMBER('Registro Notas'!$D17:$R17)))</f>
        <v/>
      </c>
      <c r="J17" s="39">
        <f>IF(SUMPRODUCT(('Matriz Criterios'!$H$13:$V$13="X")*ISNUMBER('Registro Notas'!$D17:$R17))=0, "-", SUMPRODUCT(('Matriz Criterios'!$H$13:$V$13="X")*ISNUMBER('Registro Notas'!$D17:$R17)*'Registro Notas'!$D17:$R17)/SUMPRODUCT(('Matriz Criterios'!$H$13:$V$13="X")*ISNUMBER('Registro Notas'!$D17:$R17)))</f>
        <v/>
      </c>
      <c r="K17" s="39">
        <f>IF(SUMPRODUCT(('Matriz Criterios'!$H$14:$V$14="X")*ISNUMBER('Registro Notas'!$D17:$R17))=0, "-", SUMPRODUCT(('Matriz Criterios'!$H$14:$V$14="X")*ISNUMBER('Registro Notas'!$D17:$R17)*'Registro Notas'!$D17:$R17)/SUMPRODUCT(('Matriz Criterios'!$H$14:$V$14="X")*ISNUMBER('Registro Notas'!$D17:$R17)))</f>
        <v/>
      </c>
      <c r="L17" s="39">
        <f>IF(SUMPRODUCT(('Matriz Criterios'!$H$15:$V$15="X")*ISNUMBER('Registro Notas'!$D17:$R17))=0, "-", SUMPRODUCT(('Matriz Criterios'!$H$15:$V$15="X")*ISNUMBER('Registro Notas'!$D17:$R17)*'Registro Notas'!$D17:$R17)/SUMPRODUCT(('Matriz Criterios'!$H$15:$V$15="X")*ISNUMBER('Registro Notas'!$D17:$R17)))</f>
        <v/>
      </c>
      <c r="M17" s="39">
        <f>IF(SUMPRODUCT(('Matriz Criterios'!$H$16:$V$16="X")*ISNUMBER('Registro Notas'!$D17:$R17))=0, "-", SUMPRODUCT(('Matriz Criterios'!$H$16:$V$16="X")*ISNUMBER('Registro Notas'!$D17:$R17)*'Registro Notas'!$D17:$R17)/SUMPRODUCT(('Matriz Criterios'!$H$16:$V$16="X")*ISNUMBER('Registro Notas'!$D17:$R17)))</f>
        <v/>
      </c>
      <c r="N17" s="39">
        <f>IF(SUMPRODUCT(('Matriz Criterios'!$H$17:$V$17="X")*ISNUMBER('Registro Notas'!$D17:$R17))=0, "-", SUMPRODUCT(('Matriz Criterios'!$H$17:$V$17="X")*ISNUMBER('Registro Notas'!$D17:$R17)*'Registro Notas'!$D17:$R17)/SUMPRODUCT(('Matriz Criterios'!$H$17:$V$17="X")*ISNUMBER('Registro Notas'!$D17:$R17)))</f>
        <v/>
      </c>
      <c r="O17" s="39">
        <f>IF(SUMPRODUCT(('Matriz Criterios'!$H$18:$V$18="X")*ISNUMBER('Registro Notas'!$D17:$R17))=0, "-", SUMPRODUCT(('Matriz Criterios'!$H$18:$V$18="X")*ISNUMBER('Registro Notas'!$D17:$R17)*'Registro Notas'!$D17:$R17)/SUMPRODUCT(('Matriz Criterios'!$H$18:$V$18="X")*ISNUMBER('Registro Notas'!$D17:$R17)))</f>
        <v/>
      </c>
      <c r="P17" s="39">
        <f>IF(SUMPRODUCT(('Matriz Criterios'!$H$19:$V$19="X")*ISNUMBER('Registro Notas'!$D17:$R17))=0, "-", SUMPRODUCT(('Matriz Criterios'!$H$19:$V$19="X")*ISNUMBER('Registro Notas'!$D17:$R17)*'Registro Notas'!$D17:$R17)/SUMPRODUCT(('Matriz Criterios'!$H$19:$V$19="X")*ISNUMBER('Registro Notas'!$D17:$R17)))</f>
        <v/>
      </c>
      <c r="Q17" s="39">
        <f>IF(SUMPRODUCT(('Matriz Criterios'!$H$20:$V$20="X")*ISNUMBER('Registro Notas'!$D17:$R17))=0, "-", SUMPRODUCT(('Matriz Criterios'!$H$20:$V$20="X")*ISNUMBER('Registro Notas'!$D17:$R17)*'Registro Notas'!$D17:$R17)/SUMPRODUCT(('Matriz Criterios'!$H$20:$V$20="X")*ISNUMBER('Registro Notas'!$D17:$R17)))</f>
        <v/>
      </c>
      <c r="R17" s="39">
        <f>IF(SUMPRODUCT(('Matriz Criterios'!$H$21:$V$21="X")*ISNUMBER('Registro Notas'!$D17:$R17))=0, "-", SUMPRODUCT(('Matriz Criterios'!$H$21:$V$21="X")*ISNUMBER('Registro Notas'!$D17:$R17)*'Registro Notas'!$D17:$R17)/SUMPRODUCT(('Matriz Criterios'!$H$21:$V$21="X")*ISNUMBER('Registro Notas'!$D17:$R17)))</f>
        <v/>
      </c>
      <c r="S17" s="39">
        <f>IF(SUMPRODUCT(('Matriz Criterios'!$H$22:$V$22="X")*ISNUMBER('Registro Notas'!$D17:$R17))=0, "-", SUMPRODUCT(('Matriz Criterios'!$H$22:$V$22="X")*ISNUMBER('Registro Notas'!$D17:$R17)*'Registro Notas'!$D17:$R17)/SUMPRODUCT(('Matriz Criterios'!$H$22:$V$22="X")*ISNUMBER('Registro Notas'!$D17:$R17)))</f>
        <v/>
      </c>
      <c r="T17" s="39">
        <f>IF(SUMPRODUCT(('Matriz Criterios'!$H$23:$V$23="X")*ISNUMBER('Registro Notas'!$D17:$R17))=0, "-", SUMPRODUCT(('Matriz Criterios'!$H$23:$V$23="X")*ISNUMBER('Registro Notas'!$D17:$R17)*'Registro Notas'!$D17:$R17)/SUMPRODUCT(('Matriz Criterios'!$H$23:$V$23="X")*ISNUMBER('Registro Notas'!$D17:$R17)))</f>
        <v/>
      </c>
      <c r="U17" s="39">
        <f>IF(SUMPRODUCT(('Matriz Criterios'!$H$24:$V$24="X")*ISNUMBER('Registro Notas'!$D17:$R17))=0, "-", SUMPRODUCT(('Matriz Criterios'!$H$24:$V$24="X")*ISNUMBER('Registro Notas'!$D17:$R17)*'Registro Notas'!$D17:$R17)/SUMPRODUCT(('Matriz Criterios'!$H$24:$V$24="X")*ISNUMBER('Registro Notas'!$D17:$R17)))</f>
        <v/>
      </c>
      <c r="V17" s="39">
        <f>IF(SUMPRODUCT(('Matriz Criterios'!$H$25:$V$25="X")*ISNUMBER('Registro Notas'!$D17:$R17))=0, "-", SUMPRODUCT(('Matriz Criterios'!$H$25:$V$25="X")*ISNUMBER('Registro Notas'!$D17:$R17)*'Registro Notas'!$D17:$R17)/SUMPRODUCT(('Matriz Criterios'!$H$25:$V$25="X")*ISNUMBER('Registro Notas'!$D17:$R17)))</f>
        <v/>
      </c>
      <c r="W17" s="39">
        <f>IF(SUMPRODUCT(('Matriz Criterios'!$H$26:$V$26="X")*ISNUMBER('Registro Notas'!$D17:$R17))=0, "-", SUMPRODUCT(('Matriz Criterios'!$H$26:$V$26="X")*ISNUMBER('Registro Notas'!$D17:$R17)*'Registro Notas'!$D17:$R17)/SUMPRODUCT(('Matriz Criterios'!$H$26:$V$26="X")*ISNUMBER('Registro Notas'!$D17:$R17)))</f>
        <v/>
      </c>
      <c r="X17" s="39">
        <f>IF(SUMPRODUCT(('Matriz Criterios'!$H$27:$V$27="X")*ISNUMBER('Registro Notas'!$D17:$R17))=0, "-", SUMPRODUCT(('Matriz Criterios'!$H$27:$V$27="X")*ISNUMBER('Registro Notas'!$D17:$R17)*'Registro Notas'!$D17:$R17)/SUMPRODUCT(('Matriz Criterios'!$H$27:$V$27="X")*ISNUMBER('Registro Notas'!$D17:$R17)))</f>
        <v/>
      </c>
      <c r="Y17" s="39">
        <f>IF(SUMPRODUCT(('Matriz Criterios'!$H$28:$V$28="X")*ISNUMBER('Registro Notas'!$D17:$R17))=0, "-", SUMPRODUCT(('Matriz Criterios'!$H$28:$V$28="X")*ISNUMBER('Registro Notas'!$D17:$R17)*'Registro Notas'!$D17:$R17)/SUMPRODUCT(('Matriz Criterios'!$H$28:$V$28="X")*ISNUMBER('Registro Notas'!$D17:$R17)))</f>
        <v/>
      </c>
      <c r="Z17" s="39">
        <f>IF(SUMPRODUCT(('Matriz Criterios'!$H$29:$V$29="X")*ISNUMBER('Registro Notas'!$D17:$R17))=0, "-", SUMPRODUCT(('Matriz Criterios'!$H$29:$V$29="X")*ISNUMBER('Registro Notas'!$D17:$R17)*'Registro Notas'!$D17:$R17)/SUMPRODUCT(('Matriz Criterios'!$H$29:$V$29="X")*ISNUMBER('Registro Notas'!$D17:$R17)))</f>
        <v/>
      </c>
      <c r="AA17" s="39">
        <f>IF(SUMPRODUCT(('Matriz Criterios'!$H$30:$V$30="X")*ISNUMBER('Registro Notas'!$D17:$R17))=0, "-", SUMPRODUCT(('Matriz Criterios'!$H$30:$V$30="X")*ISNUMBER('Registro Notas'!$D17:$R17)*'Registro Notas'!$D17:$R17)/SUMPRODUCT(('Matriz Criterios'!$H$30:$V$30="X")*ISNUMBER('Registro Notas'!$D17:$R17)))</f>
        <v/>
      </c>
      <c r="AB17" s="39">
        <f>IF(SUMPRODUCT(('Matriz Criterios'!$H$31:$V$31="X")*ISNUMBER('Registro Notas'!$D17:$R17))=0, "-", SUMPRODUCT(('Matriz Criterios'!$H$31:$V$31="X")*ISNUMBER('Registro Notas'!$D17:$R17)*'Registro Notas'!$D17:$R17)/SUMPRODUCT(('Matriz Criterios'!$H$31:$V$31="X")*ISNUMBER('Registro Notas'!$D17:$R17)))</f>
        <v/>
      </c>
      <c r="AC17" s="39">
        <f>IF(SUMPRODUCT(('Matriz Criterios'!$H$32:$V$32="X")*ISNUMBER('Registro Notas'!$D17:$R17))=0, "-", SUMPRODUCT(('Matriz Criterios'!$H$32:$V$32="X")*ISNUMBER('Registro Notas'!$D17:$R17)*'Registro Notas'!$D17:$R17)/SUMPRODUCT(('Matriz Criterios'!$H$32:$V$32="X")*ISNUMBER('Registro Notas'!$D17:$R17)))</f>
        <v/>
      </c>
      <c r="AD17" s="39">
        <f>IF(SUMPRODUCT(('Matriz Criterios'!$H$33:$V$33="X")*ISNUMBER('Registro Notas'!$D17:$R17))=0, "-", SUMPRODUCT(('Matriz Criterios'!$H$33:$V$33="X")*ISNUMBER('Registro Notas'!$D17:$R17)*'Registro Notas'!$D17:$R17)/SUMPRODUCT(('Matriz Criterios'!$H$33:$V$33="X")*ISNUMBER('Registro Notas'!$D17:$R17)))</f>
        <v/>
      </c>
      <c r="AE17" s="39">
        <f>IF(SUMPRODUCT(('Matriz Criterios'!$H$34:$V$34="X")*ISNUMBER('Registro Notas'!$D17:$R17))=0, "-", SUMPRODUCT(('Matriz Criterios'!$H$34:$V$34="X")*ISNUMBER('Registro Notas'!$D17:$R17)*'Registro Notas'!$D17:$R17)/SUMPRODUCT(('Matriz Criterios'!$H$34:$V$34="X")*ISNUMBER('Registro Notas'!$D17:$R17)))</f>
        <v/>
      </c>
      <c r="AF17" s="39">
        <f>IF(SUMPRODUCT(('Matriz Criterios'!$H$35:$V$35="X")*ISNUMBER('Registro Notas'!$D17:$R17))=0, "-", SUMPRODUCT(('Matriz Criterios'!$H$35:$V$35="X")*ISNUMBER('Registro Notas'!$D17:$R17)*'Registro Notas'!$D17:$R17)/SUMPRODUCT(('Matriz Criterios'!$H$35:$V$35="X")*ISNUMBER('Registro Notas'!$D17:$R17)))</f>
        <v/>
      </c>
      <c r="AG17" s="39">
        <f>IF(SUMPRODUCT(('Matriz Criterios'!$H$36:$V$36="X")*ISNUMBER('Registro Notas'!$D17:$R17))=0, "-", SUMPRODUCT(('Matriz Criterios'!$H$36:$V$36="X")*ISNUMBER('Registro Notas'!$D17:$R17)*'Registro Notas'!$D17:$R17)/SUMPRODUCT(('Matriz Criterios'!$H$36:$V$36="X")*ISNUMBER('Registro Notas'!$D17:$R17)))</f>
        <v/>
      </c>
      <c r="AH17" s="39">
        <f>IF(SUMPRODUCT(('Matriz Criterios'!$H$37:$V$37="X")*ISNUMBER('Registro Notas'!$D17:$R17))=0, "-", SUMPRODUCT(('Matriz Criterios'!$H$37:$V$37="X")*ISNUMBER('Registro Notas'!$D17:$R17)*'Registro Notas'!$D17:$R17)/SUMPRODUCT(('Matriz Criterios'!$H$37:$V$37="X")*ISNUMBER('Registro Notas'!$D17:$R17)))</f>
        <v/>
      </c>
      <c r="AI17" s="39">
        <f>IF(SUMPRODUCT(('Matriz Criterios'!$H$38:$V$38="X")*ISNUMBER('Registro Notas'!$D17:$R17))=0, "-", SUMPRODUCT(('Matriz Criterios'!$H$38:$V$38="X")*ISNUMBER('Registro Notas'!$D17:$R17)*'Registro Notas'!$D17:$R17)/SUMPRODUCT(('Matriz Criterios'!$H$38:$V$38="X")*ISNUMBER('Registro Notas'!$D17:$R17)))</f>
        <v/>
      </c>
      <c r="AJ17" s="39">
        <f>IF(SUMPRODUCT(('Matriz Criterios'!$H$39:$V$39="X")*ISNUMBER('Registro Notas'!$D17:$R17))=0, "-", SUMPRODUCT(('Matriz Criterios'!$H$39:$V$39="X")*ISNUMBER('Registro Notas'!$D17:$R17)*'Registro Notas'!$D17:$R17)/SUMPRODUCT(('Matriz Criterios'!$H$39:$V$39="X")*ISNUMBER('Registro Notas'!$D17:$R17)))</f>
        <v/>
      </c>
      <c r="AK17" s="39">
        <f>IF(SUMPRODUCT(('Matriz Criterios'!$H$40:$V$40="X")*ISNUMBER('Registro Notas'!$D17:$R17))=0, "-", SUMPRODUCT(('Matriz Criterios'!$H$40:$V$40="X")*ISNUMBER('Registro Notas'!$D17:$R17)*'Registro Notas'!$D17:$R17)/SUMPRODUCT(('Matriz Criterios'!$H$40:$V$40="X")*ISNUMBER('Registro Notas'!$D17:$R17)))</f>
        <v/>
      </c>
      <c r="AL17" s="39">
        <f>IF(SUMPRODUCT(('Matriz Criterios'!$H$41:$V$41="X")*ISNUMBER('Registro Notas'!$D17:$R17))=0, "-", SUMPRODUCT(('Matriz Criterios'!$H$41:$V$41="X")*ISNUMBER('Registro Notas'!$D17:$R17)*'Registro Notas'!$D17:$R17)/SUMPRODUCT(('Matriz Criterios'!$H$41:$V$41="X")*ISNUMBER('Registro Notas'!$D17:$R17)))</f>
        <v/>
      </c>
      <c r="AM17" s="39">
        <f>IF(SUMPRODUCT(('Matriz Criterios'!$H$42:$V$42="X")*ISNUMBER('Registro Notas'!$D17:$R17))=0, "-", SUMPRODUCT(('Matriz Criterios'!$H$42:$V$42="X")*ISNUMBER('Registro Notas'!$D17:$R17)*'Registro Notas'!$D17:$R17)/SUMPRODUCT(('Matriz Criterios'!$H$42:$V$42="X")*ISNUMBER('Registro Notas'!$D17:$R17)))</f>
        <v/>
      </c>
      <c r="AN17" s="39">
        <f>IF(SUMPRODUCT(('Matriz Criterios'!$H$43:$V$43="X")*ISNUMBER('Registro Notas'!$D17:$R17))=0, "-", SUMPRODUCT(('Matriz Criterios'!$H$43:$V$43="X")*ISNUMBER('Registro Notas'!$D17:$R17)*'Registro Notas'!$D17:$R17)/SUMPRODUCT(('Matriz Criterios'!$H$43:$V$43="X")*ISNUMBER('Registro Notas'!$D17:$R17)))</f>
        <v/>
      </c>
      <c r="AO17" s="39">
        <f>IF(SUMPRODUCT(('Matriz Criterios'!$H$44:$V$44="X")*ISNUMBER('Registro Notas'!$D17:$R17))=0, "-", SUMPRODUCT(('Matriz Criterios'!$H$44:$V$44="X")*ISNUMBER('Registro Notas'!$D17:$R17)*'Registro Notas'!$D17:$R17)/SUMPRODUCT(('Matriz Criterios'!$H$44:$V$44="X")*ISNUMBER('Registro Notas'!$D17:$R17)))</f>
        <v/>
      </c>
      <c r="AP17" s="39">
        <f>IF(SUMPRODUCT(('Matriz Criterios'!$H$45:$V$45="X")*ISNUMBER('Registro Notas'!$D17:$R17))=0, "-", SUMPRODUCT(('Matriz Criterios'!$H$45:$V$45="X")*ISNUMBER('Registro Notas'!$D17:$R17)*'Registro Notas'!$D17:$R17)/SUMPRODUCT(('Matriz Criterios'!$H$45:$V$45="X")*ISNUMBER('Registro Notas'!$D17:$R17)))</f>
        <v/>
      </c>
      <c r="AQ17" s="39">
        <f>IF(SUMPRODUCT(('Matriz Criterios'!$H$46:$V$46="X")*ISNUMBER('Registro Notas'!$D17:$R17))=0, "-", SUMPRODUCT(('Matriz Criterios'!$H$46:$V$46="X")*ISNUMBER('Registro Notas'!$D17:$R17)*'Registro Notas'!$D17:$R17)/SUMPRODUCT(('Matriz Criterios'!$H$46:$V$46="X")*ISNUMBER('Registro Notas'!$D17:$R17)))</f>
        <v/>
      </c>
      <c r="AR17" s="39">
        <f>IF(SUMPRODUCT(('Matriz Criterios'!$H$47:$V$47="X")*ISNUMBER('Registro Notas'!$D17:$R17))=0, "-", SUMPRODUCT(('Matriz Criterios'!$H$47:$V$47="X")*ISNUMBER('Registro Notas'!$D17:$R17)*'Registro Notas'!$D17:$R17)/SUMPRODUCT(('Matriz Criterios'!$H$47:$V$47="X")*ISNUMBER('Registro Notas'!$D17:$R17)))</f>
        <v/>
      </c>
      <c r="AS17" s="39">
        <f>IF(SUMPRODUCT(('Matriz Criterios'!$H$48:$V$48="X")*ISNUMBER('Registro Notas'!$D17:$R17))=0, "-", SUMPRODUCT(('Matriz Criterios'!$H$48:$V$48="X")*ISNUMBER('Registro Notas'!$D17:$R17)*'Registro Notas'!$D17:$R17)/SUMPRODUCT(('Matriz Criterios'!$H$48:$V$48="X")*ISNUMBER('Registro Notas'!$D17:$R17)))</f>
        <v/>
      </c>
      <c r="AT17" s="39">
        <f>IF(SUMPRODUCT(('Matriz Criterios'!$H$49:$V$49="X")*ISNUMBER('Registro Notas'!$D17:$R17))=0, "-", SUMPRODUCT(('Matriz Criterios'!$H$49:$V$49="X")*ISNUMBER('Registro Notas'!$D17:$R17)*'Registro Notas'!$D17:$R17)/SUMPRODUCT(('Matriz Criterios'!$H$49:$V$49="X")*ISNUMBER('Registro Notas'!$D17:$R17)))</f>
        <v/>
      </c>
      <c r="AU17" s="39">
        <f>IF(SUMPRODUCT(('Matriz Criterios'!$H$50:$V$50="X")*ISNUMBER('Registro Notas'!$D17:$R17))=0, "-", SUMPRODUCT(('Matriz Criterios'!$H$50:$V$50="X")*ISNUMBER('Registro Notas'!$D17:$R17)*'Registro Notas'!$D17:$R17)/SUMPRODUCT(('Matriz Criterios'!$H$50:$V$50="X")*ISNUMBER('Registro Notas'!$D17:$R17)))</f>
        <v/>
      </c>
      <c r="AV17" s="50">
        <f>AVERAGE(C17:AU17)</f>
        <v/>
      </c>
      <c r="AW17" s="51">
        <f>COUNTIF(C17:AU17, "&gt;=5")</f>
        <v/>
      </c>
    </row>
    <row r="18" ht="20" customHeight="1">
      <c r="A18" s="13" t="n">
        <v>13</v>
      </c>
      <c r="B18" s="34" t="inlineStr">
        <is>
          <t>Ramírez Soto, Carmen</t>
        </is>
      </c>
      <c r="C18" s="35">
        <f>IF(SUMPRODUCT(('Matriz Criterios'!$H$6:$V$6="X")*ISNUMBER('Registro Notas'!$D18:$R18))=0, "-", SUMPRODUCT(('Matriz Criterios'!$H$6:$V$6="X")*ISNUMBER('Registro Notas'!$D18:$R18)*'Registro Notas'!$D18:$R18)/SUMPRODUCT(('Matriz Criterios'!$H$6:$V$6="X")*ISNUMBER('Registro Notas'!$D18:$R18)))</f>
        <v/>
      </c>
      <c r="D18" s="35">
        <f>IF(SUMPRODUCT(('Matriz Criterios'!$H$7:$V$7="X")*ISNUMBER('Registro Notas'!$D18:$R18))=0, "-", SUMPRODUCT(('Matriz Criterios'!$H$7:$V$7="X")*ISNUMBER('Registro Notas'!$D18:$R18)*'Registro Notas'!$D18:$R18)/SUMPRODUCT(('Matriz Criterios'!$H$7:$V$7="X")*ISNUMBER('Registro Notas'!$D18:$R18)))</f>
        <v/>
      </c>
      <c r="E18" s="35">
        <f>IF(SUMPRODUCT(('Matriz Criterios'!$H$8:$V$8="X")*ISNUMBER('Registro Notas'!$D18:$R18))=0, "-", SUMPRODUCT(('Matriz Criterios'!$H$8:$V$8="X")*ISNUMBER('Registro Notas'!$D18:$R18)*'Registro Notas'!$D18:$R18)/SUMPRODUCT(('Matriz Criterios'!$H$8:$V$8="X")*ISNUMBER('Registro Notas'!$D18:$R18)))</f>
        <v/>
      </c>
      <c r="F18" s="35">
        <f>IF(SUMPRODUCT(('Matriz Criterios'!$H$9:$V$9="X")*ISNUMBER('Registro Notas'!$D18:$R18))=0, "-", SUMPRODUCT(('Matriz Criterios'!$H$9:$V$9="X")*ISNUMBER('Registro Notas'!$D18:$R18)*'Registro Notas'!$D18:$R18)/SUMPRODUCT(('Matriz Criterios'!$H$9:$V$9="X")*ISNUMBER('Registro Notas'!$D18:$R18)))</f>
        <v/>
      </c>
      <c r="G18" s="35">
        <f>IF(SUMPRODUCT(('Matriz Criterios'!$H$10:$V$10="X")*ISNUMBER('Registro Notas'!$D18:$R18))=0, "-", SUMPRODUCT(('Matriz Criterios'!$H$10:$V$10="X")*ISNUMBER('Registro Notas'!$D18:$R18)*'Registro Notas'!$D18:$R18)/SUMPRODUCT(('Matriz Criterios'!$H$10:$V$10="X")*ISNUMBER('Registro Notas'!$D18:$R18)))</f>
        <v/>
      </c>
      <c r="H18" s="35">
        <f>IF(SUMPRODUCT(('Matriz Criterios'!$H$11:$V$11="X")*ISNUMBER('Registro Notas'!$D18:$R18))=0, "-", SUMPRODUCT(('Matriz Criterios'!$H$11:$V$11="X")*ISNUMBER('Registro Notas'!$D18:$R18)*'Registro Notas'!$D18:$R18)/SUMPRODUCT(('Matriz Criterios'!$H$11:$V$11="X")*ISNUMBER('Registro Notas'!$D18:$R18)))</f>
        <v/>
      </c>
      <c r="I18" s="35">
        <f>IF(SUMPRODUCT(('Matriz Criterios'!$H$12:$V$12="X")*ISNUMBER('Registro Notas'!$D18:$R18))=0, "-", SUMPRODUCT(('Matriz Criterios'!$H$12:$V$12="X")*ISNUMBER('Registro Notas'!$D18:$R18)*'Registro Notas'!$D18:$R18)/SUMPRODUCT(('Matriz Criterios'!$H$12:$V$12="X")*ISNUMBER('Registro Notas'!$D18:$R18)))</f>
        <v/>
      </c>
      <c r="J18" s="35">
        <f>IF(SUMPRODUCT(('Matriz Criterios'!$H$13:$V$13="X")*ISNUMBER('Registro Notas'!$D18:$R18))=0, "-", SUMPRODUCT(('Matriz Criterios'!$H$13:$V$13="X")*ISNUMBER('Registro Notas'!$D18:$R18)*'Registro Notas'!$D18:$R18)/SUMPRODUCT(('Matriz Criterios'!$H$13:$V$13="X")*ISNUMBER('Registro Notas'!$D18:$R18)))</f>
        <v/>
      </c>
      <c r="K18" s="35">
        <f>IF(SUMPRODUCT(('Matriz Criterios'!$H$14:$V$14="X")*ISNUMBER('Registro Notas'!$D18:$R18))=0, "-", SUMPRODUCT(('Matriz Criterios'!$H$14:$V$14="X")*ISNUMBER('Registro Notas'!$D18:$R18)*'Registro Notas'!$D18:$R18)/SUMPRODUCT(('Matriz Criterios'!$H$14:$V$14="X")*ISNUMBER('Registro Notas'!$D18:$R18)))</f>
        <v/>
      </c>
      <c r="L18" s="35">
        <f>IF(SUMPRODUCT(('Matriz Criterios'!$H$15:$V$15="X")*ISNUMBER('Registro Notas'!$D18:$R18))=0, "-", SUMPRODUCT(('Matriz Criterios'!$H$15:$V$15="X")*ISNUMBER('Registro Notas'!$D18:$R18)*'Registro Notas'!$D18:$R18)/SUMPRODUCT(('Matriz Criterios'!$H$15:$V$15="X")*ISNUMBER('Registro Notas'!$D18:$R18)))</f>
        <v/>
      </c>
      <c r="M18" s="35">
        <f>IF(SUMPRODUCT(('Matriz Criterios'!$H$16:$V$16="X")*ISNUMBER('Registro Notas'!$D18:$R18))=0, "-", SUMPRODUCT(('Matriz Criterios'!$H$16:$V$16="X")*ISNUMBER('Registro Notas'!$D18:$R18)*'Registro Notas'!$D18:$R18)/SUMPRODUCT(('Matriz Criterios'!$H$16:$V$16="X")*ISNUMBER('Registro Notas'!$D18:$R18)))</f>
        <v/>
      </c>
      <c r="N18" s="35">
        <f>IF(SUMPRODUCT(('Matriz Criterios'!$H$17:$V$17="X")*ISNUMBER('Registro Notas'!$D18:$R18))=0, "-", SUMPRODUCT(('Matriz Criterios'!$H$17:$V$17="X")*ISNUMBER('Registro Notas'!$D18:$R18)*'Registro Notas'!$D18:$R18)/SUMPRODUCT(('Matriz Criterios'!$H$17:$V$17="X")*ISNUMBER('Registro Notas'!$D18:$R18)))</f>
        <v/>
      </c>
      <c r="O18" s="35">
        <f>IF(SUMPRODUCT(('Matriz Criterios'!$H$18:$V$18="X")*ISNUMBER('Registro Notas'!$D18:$R18))=0, "-", SUMPRODUCT(('Matriz Criterios'!$H$18:$V$18="X")*ISNUMBER('Registro Notas'!$D18:$R18)*'Registro Notas'!$D18:$R18)/SUMPRODUCT(('Matriz Criterios'!$H$18:$V$18="X")*ISNUMBER('Registro Notas'!$D18:$R18)))</f>
        <v/>
      </c>
      <c r="P18" s="35">
        <f>IF(SUMPRODUCT(('Matriz Criterios'!$H$19:$V$19="X")*ISNUMBER('Registro Notas'!$D18:$R18))=0, "-", SUMPRODUCT(('Matriz Criterios'!$H$19:$V$19="X")*ISNUMBER('Registro Notas'!$D18:$R18)*'Registro Notas'!$D18:$R18)/SUMPRODUCT(('Matriz Criterios'!$H$19:$V$19="X")*ISNUMBER('Registro Notas'!$D18:$R18)))</f>
        <v/>
      </c>
      <c r="Q18" s="35">
        <f>IF(SUMPRODUCT(('Matriz Criterios'!$H$20:$V$20="X")*ISNUMBER('Registro Notas'!$D18:$R18))=0, "-", SUMPRODUCT(('Matriz Criterios'!$H$20:$V$20="X")*ISNUMBER('Registro Notas'!$D18:$R18)*'Registro Notas'!$D18:$R18)/SUMPRODUCT(('Matriz Criterios'!$H$20:$V$20="X")*ISNUMBER('Registro Notas'!$D18:$R18)))</f>
        <v/>
      </c>
      <c r="R18" s="35">
        <f>IF(SUMPRODUCT(('Matriz Criterios'!$H$21:$V$21="X")*ISNUMBER('Registro Notas'!$D18:$R18))=0, "-", SUMPRODUCT(('Matriz Criterios'!$H$21:$V$21="X")*ISNUMBER('Registro Notas'!$D18:$R18)*'Registro Notas'!$D18:$R18)/SUMPRODUCT(('Matriz Criterios'!$H$21:$V$21="X")*ISNUMBER('Registro Notas'!$D18:$R18)))</f>
        <v/>
      </c>
      <c r="S18" s="35">
        <f>IF(SUMPRODUCT(('Matriz Criterios'!$H$22:$V$22="X")*ISNUMBER('Registro Notas'!$D18:$R18))=0, "-", SUMPRODUCT(('Matriz Criterios'!$H$22:$V$22="X")*ISNUMBER('Registro Notas'!$D18:$R18)*'Registro Notas'!$D18:$R18)/SUMPRODUCT(('Matriz Criterios'!$H$22:$V$22="X")*ISNUMBER('Registro Notas'!$D18:$R18)))</f>
        <v/>
      </c>
      <c r="T18" s="35">
        <f>IF(SUMPRODUCT(('Matriz Criterios'!$H$23:$V$23="X")*ISNUMBER('Registro Notas'!$D18:$R18))=0, "-", SUMPRODUCT(('Matriz Criterios'!$H$23:$V$23="X")*ISNUMBER('Registro Notas'!$D18:$R18)*'Registro Notas'!$D18:$R18)/SUMPRODUCT(('Matriz Criterios'!$H$23:$V$23="X")*ISNUMBER('Registro Notas'!$D18:$R18)))</f>
        <v/>
      </c>
      <c r="U18" s="35">
        <f>IF(SUMPRODUCT(('Matriz Criterios'!$H$24:$V$24="X")*ISNUMBER('Registro Notas'!$D18:$R18))=0, "-", SUMPRODUCT(('Matriz Criterios'!$H$24:$V$24="X")*ISNUMBER('Registro Notas'!$D18:$R18)*'Registro Notas'!$D18:$R18)/SUMPRODUCT(('Matriz Criterios'!$H$24:$V$24="X")*ISNUMBER('Registro Notas'!$D18:$R18)))</f>
        <v/>
      </c>
      <c r="V18" s="35">
        <f>IF(SUMPRODUCT(('Matriz Criterios'!$H$25:$V$25="X")*ISNUMBER('Registro Notas'!$D18:$R18))=0, "-", SUMPRODUCT(('Matriz Criterios'!$H$25:$V$25="X")*ISNUMBER('Registro Notas'!$D18:$R18)*'Registro Notas'!$D18:$R18)/SUMPRODUCT(('Matriz Criterios'!$H$25:$V$25="X")*ISNUMBER('Registro Notas'!$D18:$R18)))</f>
        <v/>
      </c>
      <c r="W18" s="35">
        <f>IF(SUMPRODUCT(('Matriz Criterios'!$H$26:$V$26="X")*ISNUMBER('Registro Notas'!$D18:$R18))=0, "-", SUMPRODUCT(('Matriz Criterios'!$H$26:$V$26="X")*ISNUMBER('Registro Notas'!$D18:$R18)*'Registro Notas'!$D18:$R18)/SUMPRODUCT(('Matriz Criterios'!$H$26:$V$26="X")*ISNUMBER('Registro Notas'!$D18:$R18)))</f>
        <v/>
      </c>
      <c r="X18" s="35">
        <f>IF(SUMPRODUCT(('Matriz Criterios'!$H$27:$V$27="X")*ISNUMBER('Registro Notas'!$D18:$R18))=0, "-", SUMPRODUCT(('Matriz Criterios'!$H$27:$V$27="X")*ISNUMBER('Registro Notas'!$D18:$R18)*'Registro Notas'!$D18:$R18)/SUMPRODUCT(('Matriz Criterios'!$H$27:$V$27="X")*ISNUMBER('Registro Notas'!$D18:$R18)))</f>
        <v/>
      </c>
      <c r="Y18" s="35">
        <f>IF(SUMPRODUCT(('Matriz Criterios'!$H$28:$V$28="X")*ISNUMBER('Registro Notas'!$D18:$R18))=0, "-", SUMPRODUCT(('Matriz Criterios'!$H$28:$V$28="X")*ISNUMBER('Registro Notas'!$D18:$R18)*'Registro Notas'!$D18:$R18)/SUMPRODUCT(('Matriz Criterios'!$H$28:$V$28="X")*ISNUMBER('Registro Notas'!$D18:$R18)))</f>
        <v/>
      </c>
      <c r="Z18" s="35">
        <f>IF(SUMPRODUCT(('Matriz Criterios'!$H$29:$V$29="X")*ISNUMBER('Registro Notas'!$D18:$R18))=0, "-", SUMPRODUCT(('Matriz Criterios'!$H$29:$V$29="X")*ISNUMBER('Registro Notas'!$D18:$R18)*'Registro Notas'!$D18:$R18)/SUMPRODUCT(('Matriz Criterios'!$H$29:$V$29="X")*ISNUMBER('Registro Notas'!$D18:$R18)))</f>
        <v/>
      </c>
      <c r="AA18" s="35">
        <f>IF(SUMPRODUCT(('Matriz Criterios'!$H$30:$V$30="X")*ISNUMBER('Registro Notas'!$D18:$R18))=0, "-", SUMPRODUCT(('Matriz Criterios'!$H$30:$V$30="X")*ISNUMBER('Registro Notas'!$D18:$R18)*'Registro Notas'!$D18:$R18)/SUMPRODUCT(('Matriz Criterios'!$H$30:$V$30="X")*ISNUMBER('Registro Notas'!$D18:$R18)))</f>
        <v/>
      </c>
      <c r="AB18" s="35">
        <f>IF(SUMPRODUCT(('Matriz Criterios'!$H$31:$V$31="X")*ISNUMBER('Registro Notas'!$D18:$R18))=0, "-", SUMPRODUCT(('Matriz Criterios'!$H$31:$V$31="X")*ISNUMBER('Registro Notas'!$D18:$R18)*'Registro Notas'!$D18:$R18)/SUMPRODUCT(('Matriz Criterios'!$H$31:$V$31="X")*ISNUMBER('Registro Notas'!$D18:$R18)))</f>
        <v/>
      </c>
      <c r="AC18" s="35">
        <f>IF(SUMPRODUCT(('Matriz Criterios'!$H$32:$V$32="X")*ISNUMBER('Registro Notas'!$D18:$R18))=0, "-", SUMPRODUCT(('Matriz Criterios'!$H$32:$V$32="X")*ISNUMBER('Registro Notas'!$D18:$R18)*'Registro Notas'!$D18:$R18)/SUMPRODUCT(('Matriz Criterios'!$H$32:$V$32="X")*ISNUMBER('Registro Notas'!$D18:$R18)))</f>
        <v/>
      </c>
      <c r="AD18" s="35">
        <f>IF(SUMPRODUCT(('Matriz Criterios'!$H$33:$V$33="X")*ISNUMBER('Registro Notas'!$D18:$R18))=0, "-", SUMPRODUCT(('Matriz Criterios'!$H$33:$V$33="X")*ISNUMBER('Registro Notas'!$D18:$R18)*'Registro Notas'!$D18:$R18)/SUMPRODUCT(('Matriz Criterios'!$H$33:$V$33="X")*ISNUMBER('Registro Notas'!$D18:$R18)))</f>
        <v/>
      </c>
      <c r="AE18" s="35">
        <f>IF(SUMPRODUCT(('Matriz Criterios'!$H$34:$V$34="X")*ISNUMBER('Registro Notas'!$D18:$R18))=0, "-", SUMPRODUCT(('Matriz Criterios'!$H$34:$V$34="X")*ISNUMBER('Registro Notas'!$D18:$R18)*'Registro Notas'!$D18:$R18)/SUMPRODUCT(('Matriz Criterios'!$H$34:$V$34="X")*ISNUMBER('Registro Notas'!$D18:$R18)))</f>
        <v/>
      </c>
      <c r="AF18" s="35">
        <f>IF(SUMPRODUCT(('Matriz Criterios'!$H$35:$V$35="X")*ISNUMBER('Registro Notas'!$D18:$R18))=0, "-", SUMPRODUCT(('Matriz Criterios'!$H$35:$V$35="X")*ISNUMBER('Registro Notas'!$D18:$R18)*'Registro Notas'!$D18:$R18)/SUMPRODUCT(('Matriz Criterios'!$H$35:$V$35="X")*ISNUMBER('Registro Notas'!$D18:$R18)))</f>
        <v/>
      </c>
      <c r="AG18" s="35">
        <f>IF(SUMPRODUCT(('Matriz Criterios'!$H$36:$V$36="X")*ISNUMBER('Registro Notas'!$D18:$R18))=0, "-", SUMPRODUCT(('Matriz Criterios'!$H$36:$V$36="X")*ISNUMBER('Registro Notas'!$D18:$R18)*'Registro Notas'!$D18:$R18)/SUMPRODUCT(('Matriz Criterios'!$H$36:$V$36="X")*ISNUMBER('Registro Notas'!$D18:$R18)))</f>
        <v/>
      </c>
      <c r="AH18" s="35">
        <f>IF(SUMPRODUCT(('Matriz Criterios'!$H$37:$V$37="X")*ISNUMBER('Registro Notas'!$D18:$R18))=0, "-", SUMPRODUCT(('Matriz Criterios'!$H$37:$V$37="X")*ISNUMBER('Registro Notas'!$D18:$R18)*'Registro Notas'!$D18:$R18)/SUMPRODUCT(('Matriz Criterios'!$H$37:$V$37="X")*ISNUMBER('Registro Notas'!$D18:$R18)))</f>
        <v/>
      </c>
      <c r="AI18" s="35">
        <f>IF(SUMPRODUCT(('Matriz Criterios'!$H$38:$V$38="X")*ISNUMBER('Registro Notas'!$D18:$R18))=0, "-", SUMPRODUCT(('Matriz Criterios'!$H$38:$V$38="X")*ISNUMBER('Registro Notas'!$D18:$R18)*'Registro Notas'!$D18:$R18)/SUMPRODUCT(('Matriz Criterios'!$H$38:$V$38="X")*ISNUMBER('Registro Notas'!$D18:$R18)))</f>
        <v/>
      </c>
      <c r="AJ18" s="35">
        <f>IF(SUMPRODUCT(('Matriz Criterios'!$H$39:$V$39="X")*ISNUMBER('Registro Notas'!$D18:$R18))=0, "-", SUMPRODUCT(('Matriz Criterios'!$H$39:$V$39="X")*ISNUMBER('Registro Notas'!$D18:$R18)*'Registro Notas'!$D18:$R18)/SUMPRODUCT(('Matriz Criterios'!$H$39:$V$39="X")*ISNUMBER('Registro Notas'!$D18:$R18)))</f>
        <v/>
      </c>
      <c r="AK18" s="35">
        <f>IF(SUMPRODUCT(('Matriz Criterios'!$H$40:$V$40="X")*ISNUMBER('Registro Notas'!$D18:$R18))=0, "-", SUMPRODUCT(('Matriz Criterios'!$H$40:$V$40="X")*ISNUMBER('Registro Notas'!$D18:$R18)*'Registro Notas'!$D18:$R18)/SUMPRODUCT(('Matriz Criterios'!$H$40:$V$40="X")*ISNUMBER('Registro Notas'!$D18:$R18)))</f>
        <v/>
      </c>
      <c r="AL18" s="35">
        <f>IF(SUMPRODUCT(('Matriz Criterios'!$H$41:$V$41="X")*ISNUMBER('Registro Notas'!$D18:$R18))=0, "-", SUMPRODUCT(('Matriz Criterios'!$H$41:$V$41="X")*ISNUMBER('Registro Notas'!$D18:$R18)*'Registro Notas'!$D18:$R18)/SUMPRODUCT(('Matriz Criterios'!$H$41:$V$41="X")*ISNUMBER('Registro Notas'!$D18:$R18)))</f>
        <v/>
      </c>
      <c r="AM18" s="35">
        <f>IF(SUMPRODUCT(('Matriz Criterios'!$H$42:$V$42="X")*ISNUMBER('Registro Notas'!$D18:$R18))=0, "-", SUMPRODUCT(('Matriz Criterios'!$H$42:$V$42="X")*ISNUMBER('Registro Notas'!$D18:$R18)*'Registro Notas'!$D18:$R18)/SUMPRODUCT(('Matriz Criterios'!$H$42:$V$42="X")*ISNUMBER('Registro Notas'!$D18:$R18)))</f>
        <v/>
      </c>
      <c r="AN18" s="35">
        <f>IF(SUMPRODUCT(('Matriz Criterios'!$H$43:$V$43="X")*ISNUMBER('Registro Notas'!$D18:$R18))=0, "-", SUMPRODUCT(('Matriz Criterios'!$H$43:$V$43="X")*ISNUMBER('Registro Notas'!$D18:$R18)*'Registro Notas'!$D18:$R18)/SUMPRODUCT(('Matriz Criterios'!$H$43:$V$43="X")*ISNUMBER('Registro Notas'!$D18:$R18)))</f>
        <v/>
      </c>
      <c r="AO18" s="35">
        <f>IF(SUMPRODUCT(('Matriz Criterios'!$H$44:$V$44="X")*ISNUMBER('Registro Notas'!$D18:$R18))=0, "-", SUMPRODUCT(('Matriz Criterios'!$H$44:$V$44="X")*ISNUMBER('Registro Notas'!$D18:$R18)*'Registro Notas'!$D18:$R18)/SUMPRODUCT(('Matriz Criterios'!$H$44:$V$44="X")*ISNUMBER('Registro Notas'!$D18:$R18)))</f>
        <v/>
      </c>
      <c r="AP18" s="35">
        <f>IF(SUMPRODUCT(('Matriz Criterios'!$H$45:$V$45="X")*ISNUMBER('Registro Notas'!$D18:$R18))=0, "-", SUMPRODUCT(('Matriz Criterios'!$H$45:$V$45="X")*ISNUMBER('Registro Notas'!$D18:$R18)*'Registro Notas'!$D18:$R18)/SUMPRODUCT(('Matriz Criterios'!$H$45:$V$45="X")*ISNUMBER('Registro Notas'!$D18:$R18)))</f>
        <v/>
      </c>
      <c r="AQ18" s="35">
        <f>IF(SUMPRODUCT(('Matriz Criterios'!$H$46:$V$46="X")*ISNUMBER('Registro Notas'!$D18:$R18))=0, "-", SUMPRODUCT(('Matriz Criterios'!$H$46:$V$46="X")*ISNUMBER('Registro Notas'!$D18:$R18)*'Registro Notas'!$D18:$R18)/SUMPRODUCT(('Matriz Criterios'!$H$46:$V$46="X")*ISNUMBER('Registro Notas'!$D18:$R18)))</f>
        <v/>
      </c>
      <c r="AR18" s="35">
        <f>IF(SUMPRODUCT(('Matriz Criterios'!$H$47:$V$47="X")*ISNUMBER('Registro Notas'!$D18:$R18))=0, "-", SUMPRODUCT(('Matriz Criterios'!$H$47:$V$47="X")*ISNUMBER('Registro Notas'!$D18:$R18)*'Registro Notas'!$D18:$R18)/SUMPRODUCT(('Matriz Criterios'!$H$47:$V$47="X")*ISNUMBER('Registro Notas'!$D18:$R18)))</f>
        <v/>
      </c>
      <c r="AS18" s="35">
        <f>IF(SUMPRODUCT(('Matriz Criterios'!$H$48:$V$48="X")*ISNUMBER('Registro Notas'!$D18:$R18))=0, "-", SUMPRODUCT(('Matriz Criterios'!$H$48:$V$48="X")*ISNUMBER('Registro Notas'!$D18:$R18)*'Registro Notas'!$D18:$R18)/SUMPRODUCT(('Matriz Criterios'!$H$48:$V$48="X")*ISNUMBER('Registro Notas'!$D18:$R18)))</f>
        <v/>
      </c>
      <c r="AT18" s="35">
        <f>IF(SUMPRODUCT(('Matriz Criterios'!$H$49:$V$49="X")*ISNUMBER('Registro Notas'!$D18:$R18))=0, "-", SUMPRODUCT(('Matriz Criterios'!$H$49:$V$49="X")*ISNUMBER('Registro Notas'!$D18:$R18)*'Registro Notas'!$D18:$R18)/SUMPRODUCT(('Matriz Criterios'!$H$49:$V$49="X")*ISNUMBER('Registro Notas'!$D18:$R18)))</f>
        <v/>
      </c>
      <c r="AU18" s="35">
        <f>IF(SUMPRODUCT(('Matriz Criterios'!$H$50:$V$50="X")*ISNUMBER('Registro Notas'!$D18:$R18))=0, "-", SUMPRODUCT(('Matriz Criterios'!$H$50:$V$50="X")*ISNUMBER('Registro Notas'!$D18:$R18)*'Registro Notas'!$D18:$R18)/SUMPRODUCT(('Matriz Criterios'!$H$50:$V$50="X")*ISNUMBER('Registro Notas'!$D18:$R18)))</f>
        <v/>
      </c>
      <c r="AV18" s="50">
        <f>AVERAGE(C18:AU18)</f>
        <v/>
      </c>
      <c r="AW18" s="51">
        <f>COUNTIF(C18:AU18, "&gt;=5")</f>
        <v/>
      </c>
    </row>
    <row r="19" ht="20" customHeight="1">
      <c r="A19" s="21" t="n">
        <v>14</v>
      </c>
      <c r="B19" s="38" t="inlineStr">
        <is>
          <t>Sánchez Vidal, Daniel</t>
        </is>
      </c>
      <c r="C19" s="39">
        <f>IF(SUMPRODUCT(('Matriz Criterios'!$H$6:$V$6="X")*ISNUMBER('Registro Notas'!$D19:$R19))=0, "-", SUMPRODUCT(('Matriz Criterios'!$H$6:$V$6="X")*ISNUMBER('Registro Notas'!$D19:$R19)*'Registro Notas'!$D19:$R19)/SUMPRODUCT(('Matriz Criterios'!$H$6:$V$6="X")*ISNUMBER('Registro Notas'!$D19:$R19)))</f>
        <v/>
      </c>
      <c r="D19" s="39">
        <f>IF(SUMPRODUCT(('Matriz Criterios'!$H$7:$V$7="X")*ISNUMBER('Registro Notas'!$D19:$R19))=0, "-", SUMPRODUCT(('Matriz Criterios'!$H$7:$V$7="X")*ISNUMBER('Registro Notas'!$D19:$R19)*'Registro Notas'!$D19:$R19)/SUMPRODUCT(('Matriz Criterios'!$H$7:$V$7="X")*ISNUMBER('Registro Notas'!$D19:$R19)))</f>
        <v/>
      </c>
      <c r="E19" s="39">
        <f>IF(SUMPRODUCT(('Matriz Criterios'!$H$8:$V$8="X")*ISNUMBER('Registro Notas'!$D19:$R19))=0, "-", SUMPRODUCT(('Matriz Criterios'!$H$8:$V$8="X")*ISNUMBER('Registro Notas'!$D19:$R19)*'Registro Notas'!$D19:$R19)/SUMPRODUCT(('Matriz Criterios'!$H$8:$V$8="X")*ISNUMBER('Registro Notas'!$D19:$R19)))</f>
        <v/>
      </c>
      <c r="F19" s="39">
        <f>IF(SUMPRODUCT(('Matriz Criterios'!$H$9:$V$9="X")*ISNUMBER('Registro Notas'!$D19:$R19))=0, "-", SUMPRODUCT(('Matriz Criterios'!$H$9:$V$9="X")*ISNUMBER('Registro Notas'!$D19:$R19)*'Registro Notas'!$D19:$R19)/SUMPRODUCT(('Matriz Criterios'!$H$9:$V$9="X")*ISNUMBER('Registro Notas'!$D19:$R19)))</f>
        <v/>
      </c>
      <c r="G19" s="39">
        <f>IF(SUMPRODUCT(('Matriz Criterios'!$H$10:$V$10="X")*ISNUMBER('Registro Notas'!$D19:$R19))=0, "-", SUMPRODUCT(('Matriz Criterios'!$H$10:$V$10="X")*ISNUMBER('Registro Notas'!$D19:$R19)*'Registro Notas'!$D19:$R19)/SUMPRODUCT(('Matriz Criterios'!$H$10:$V$10="X")*ISNUMBER('Registro Notas'!$D19:$R19)))</f>
        <v/>
      </c>
      <c r="H19" s="39">
        <f>IF(SUMPRODUCT(('Matriz Criterios'!$H$11:$V$11="X")*ISNUMBER('Registro Notas'!$D19:$R19))=0, "-", SUMPRODUCT(('Matriz Criterios'!$H$11:$V$11="X")*ISNUMBER('Registro Notas'!$D19:$R19)*'Registro Notas'!$D19:$R19)/SUMPRODUCT(('Matriz Criterios'!$H$11:$V$11="X")*ISNUMBER('Registro Notas'!$D19:$R19)))</f>
        <v/>
      </c>
      <c r="I19" s="39">
        <f>IF(SUMPRODUCT(('Matriz Criterios'!$H$12:$V$12="X")*ISNUMBER('Registro Notas'!$D19:$R19))=0, "-", SUMPRODUCT(('Matriz Criterios'!$H$12:$V$12="X")*ISNUMBER('Registro Notas'!$D19:$R19)*'Registro Notas'!$D19:$R19)/SUMPRODUCT(('Matriz Criterios'!$H$12:$V$12="X")*ISNUMBER('Registro Notas'!$D19:$R19)))</f>
        <v/>
      </c>
      <c r="J19" s="39">
        <f>IF(SUMPRODUCT(('Matriz Criterios'!$H$13:$V$13="X")*ISNUMBER('Registro Notas'!$D19:$R19))=0, "-", SUMPRODUCT(('Matriz Criterios'!$H$13:$V$13="X")*ISNUMBER('Registro Notas'!$D19:$R19)*'Registro Notas'!$D19:$R19)/SUMPRODUCT(('Matriz Criterios'!$H$13:$V$13="X")*ISNUMBER('Registro Notas'!$D19:$R19)))</f>
        <v/>
      </c>
      <c r="K19" s="39">
        <f>IF(SUMPRODUCT(('Matriz Criterios'!$H$14:$V$14="X")*ISNUMBER('Registro Notas'!$D19:$R19))=0, "-", SUMPRODUCT(('Matriz Criterios'!$H$14:$V$14="X")*ISNUMBER('Registro Notas'!$D19:$R19)*'Registro Notas'!$D19:$R19)/SUMPRODUCT(('Matriz Criterios'!$H$14:$V$14="X")*ISNUMBER('Registro Notas'!$D19:$R19)))</f>
        <v/>
      </c>
      <c r="L19" s="39">
        <f>IF(SUMPRODUCT(('Matriz Criterios'!$H$15:$V$15="X")*ISNUMBER('Registro Notas'!$D19:$R19))=0, "-", SUMPRODUCT(('Matriz Criterios'!$H$15:$V$15="X")*ISNUMBER('Registro Notas'!$D19:$R19)*'Registro Notas'!$D19:$R19)/SUMPRODUCT(('Matriz Criterios'!$H$15:$V$15="X")*ISNUMBER('Registro Notas'!$D19:$R19)))</f>
        <v/>
      </c>
      <c r="M19" s="39">
        <f>IF(SUMPRODUCT(('Matriz Criterios'!$H$16:$V$16="X")*ISNUMBER('Registro Notas'!$D19:$R19))=0, "-", SUMPRODUCT(('Matriz Criterios'!$H$16:$V$16="X")*ISNUMBER('Registro Notas'!$D19:$R19)*'Registro Notas'!$D19:$R19)/SUMPRODUCT(('Matriz Criterios'!$H$16:$V$16="X")*ISNUMBER('Registro Notas'!$D19:$R19)))</f>
        <v/>
      </c>
      <c r="N19" s="39">
        <f>IF(SUMPRODUCT(('Matriz Criterios'!$H$17:$V$17="X")*ISNUMBER('Registro Notas'!$D19:$R19))=0, "-", SUMPRODUCT(('Matriz Criterios'!$H$17:$V$17="X")*ISNUMBER('Registro Notas'!$D19:$R19)*'Registro Notas'!$D19:$R19)/SUMPRODUCT(('Matriz Criterios'!$H$17:$V$17="X")*ISNUMBER('Registro Notas'!$D19:$R19)))</f>
        <v/>
      </c>
      <c r="O19" s="39">
        <f>IF(SUMPRODUCT(('Matriz Criterios'!$H$18:$V$18="X")*ISNUMBER('Registro Notas'!$D19:$R19))=0, "-", SUMPRODUCT(('Matriz Criterios'!$H$18:$V$18="X")*ISNUMBER('Registro Notas'!$D19:$R19)*'Registro Notas'!$D19:$R19)/SUMPRODUCT(('Matriz Criterios'!$H$18:$V$18="X")*ISNUMBER('Registro Notas'!$D19:$R19)))</f>
        <v/>
      </c>
      <c r="P19" s="39">
        <f>IF(SUMPRODUCT(('Matriz Criterios'!$H$19:$V$19="X")*ISNUMBER('Registro Notas'!$D19:$R19))=0, "-", SUMPRODUCT(('Matriz Criterios'!$H$19:$V$19="X")*ISNUMBER('Registro Notas'!$D19:$R19)*'Registro Notas'!$D19:$R19)/SUMPRODUCT(('Matriz Criterios'!$H$19:$V$19="X")*ISNUMBER('Registro Notas'!$D19:$R19)))</f>
        <v/>
      </c>
      <c r="Q19" s="39">
        <f>IF(SUMPRODUCT(('Matriz Criterios'!$H$20:$V$20="X")*ISNUMBER('Registro Notas'!$D19:$R19))=0, "-", SUMPRODUCT(('Matriz Criterios'!$H$20:$V$20="X")*ISNUMBER('Registro Notas'!$D19:$R19)*'Registro Notas'!$D19:$R19)/SUMPRODUCT(('Matriz Criterios'!$H$20:$V$20="X")*ISNUMBER('Registro Notas'!$D19:$R19)))</f>
        <v/>
      </c>
      <c r="R19" s="39">
        <f>IF(SUMPRODUCT(('Matriz Criterios'!$H$21:$V$21="X")*ISNUMBER('Registro Notas'!$D19:$R19))=0, "-", SUMPRODUCT(('Matriz Criterios'!$H$21:$V$21="X")*ISNUMBER('Registro Notas'!$D19:$R19)*'Registro Notas'!$D19:$R19)/SUMPRODUCT(('Matriz Criterios'!$H$21:$V$21="X")*ISNUMBER('Registro Notas'!$D19:$R19)))</f>
        <v/>
      </c>
      <c r="S19" s="39">
        <f>IF(SUMPRODUCT(('Matriz Criterios'!$H$22:$V$22="X")*ISNUMBER('Registro Notas'!$D19:$R19))=0, "-", SUMPRODUCT(('Matriz Criterios'!$H$22:$V$22="X")*ISNUMBER('Registro Notas'!$D19:$R19)*'Registro Notas'!$D19:$R19)/SUMPRODUCT(('Matriz Criterios'!$H$22:$V$22="X")*ISNUMBER('Registro Notas'!$D19:$R19)))</f>
        <v/>
      </c>
      <c r="T19" s="39">
        <f>IF(SUMPRODUCT(('Matriz Criterios'!$H$23:$V$23="X")*ISNUMBER('Registro Notas'!$D19:$R19))=0, "-", SUMPRODUCT(('Matriz Criterios'!$H$23:$V$23="X")*ISNUMBER('Registro Notas'!$D19:$R19)*'Registro Notas'!$D19:$R19)/SUMPRODUCT(('Matriz Criterios'!$H$23:$V$23="X")*ISNUMBER('Registro Notas'!$D19:$R19)))</f>
        <v/>
      </c>
      <c r="U19" s="39">
        <f>IF(SUMPRODUCT(('Matriz Criterios'!$H$24:$V$24="X")*ISNUMBER('Registro Notas'!$D19:$R19))=0, "-", SUMPRODUCT(('Matriz Criterios'!$H$24:$V$24="X")*ISNUMBER('Registro Notas'!$D19:$R19)*'Registro Notas'!$D19:$R19)/SUMPRODUCT(('Matriz Criterios'!$H$24:$V$24="X")*ISNUMBER('Registro Notas'!$D19:$R19)))</f>
        <v/>
      </c>
      <c r="V19" s="39">
        <f>IF(SUMPRODUCT(('Matriz Criterios'!$H$25:$V$25="X")*ISNUMBER('Registro Notas'!$D19:$R19))=0, "-", SUMPRODUCT(('Matriz Criterios'!$H$25:$V$25="X")*ISNUMBER('Registro Notas'!$D19:$R19)*'Registro Notas'!$D19:$R19)/SUMPRODUCT(('Matriz Criterios'!$H$25:$V$25="X")*ISNUMBER('Registro Notas'!$D19:$R19)))</f>
        <v/>
      </c>
      <c r="W19" s="39">
        <f>IF(SUMPRODUCT(('Matriz Criterios'!$H$26:$V$26="X")*ISNUMBER('Registro Notas'!$D19:$R19))=0, "-", SUMPRODUCT(('Matriz Criterios'!$H$26:$V$26="X")*ISNUMBER('Registro Notas'!$D19:$R19)*'Registro Notas'!$D19:$R19)/SUMPRODUCT(('Matriz Criterios'!$H$26:$V$26="X")*ISNUMBER('Registro Notas'!$D19:$R19)))</f>
        <v/>
      </c>
      <c r="X19" s="39">
        <f>IF(SUMPRODUCT(('Matriz Criterios'!$H$27:$V$27="X")*ISNUMBER('Registro Notas'!$D19:$R19))=0, "-", SUMPRODUCT(('Matriz Criterios'!$H$27:$V$27="X")*ISNUMBER('Registro Notas'!$D19:$R19)*'Registro Notas'!$D19:$R19)/SUMPRODUCT(('Matriz Criterios'!$H$27:$V$27="X")*ISNUMBER('Registro Notas'!$D19:$R19)))</f>
        <v/>
      </c>
      <c r="Y19" s="39">
        <f>IF(SUMPRODUCT(('Matriz Criterios'!$H$28:$V$28="X")*ISNUMBER('Registro Notas'!$D19:$R19))=0, "-", SUMPRODUCT(('Matriz Criterios'!$H$28:$V$28="X")*ISNUMBER('Registro Notas'!$D19:$R19)*'Registro Notas'!$D19:$R19)/SUMPRODUCT(('Matriz Criterios'!$H$28:$V$28="X")*ISNUMBER('Registro Notas'!$D19:$R19)))</f>
        <v/>
      </c>
      <c r="Z19" s="39">
        <f>IF(SUMPRODUCT(('Matriz Criterios'!$H$29:$V$29="X")*ISNUMBER('Registro Notas'!$D19:$R19))=0, "-", SUMPRODUCT(('Matriz Criterios'!$H$29:$V$29="X")*ISNUMBER('Registro Notas'!$D19:$R19)*'Registro Notas'!$D19:$R19)/SUMPRODUCT(('Matriz Criterios'!$H$29:$V$29="X")*ISNUMBER('Registro Notas'!$D19:$R19)))</f>
        <v/>
      </c>
      <c r="AA19" s="39">
        <f>IF(SUMPRODUCT(('Matriz Criterios'!$H$30:$V$30="X")*ISNUMBER('Registro Notas'!$D19:$R19))=0, "-", SUMPRODUCT(('Matriz Criterios'!$H$30:$V$30="X")*ISNUMBER('Registro Notas'!$D19:$R19)*'Registro Notas'!$D19:$R19)/SUMPRODUCT(('Matriz Criterios'!$H$30:$V$30="X")*ISNUMBER('Registro Notas'!$D19:$R19)))</f>
        <v/>
      </c>
      <c r="AB19" s="39">
        <f>IF(SUMPRODUCT(('Matriz Criterios'!$H$31:$V$31="X")*ISNUMBER('Registro Notas'!$D19:$R19))=0, "-", SUMPRODUCT(('Matriz Criterios'!$H$31:$V$31="X")*ISNUMBER('Registro Notas'!$D19:$R19)*'Registro Notas'!$D19:$R19)/SUMPRODUCT(('Matriz Criterios'!$H$31:$V$31="X")*ISNUMBER('Registro Notas'!$D19:$R19)))</f>
        <v/>
      </c>
      <c r="AC19" s="39">
        <f>IF(SUMPRODUCT(('Matriz Criterios'!$H$32:$V$32="X")*ISNUMBER('Registro Notas'!$D19:$R19))=0, "-", SUMPRODUCT(('Matriz Criterios'!$H$32:$V$32="X")*ISNUMBER('Registro Notas'!$D19:$R19)*'Registro Notas'!$D19:$R19)/SUMPRODUCT(('Matriz Criterios'!$H$32:$V$32="X")*ISNUMBER('Registro Notas'!$D19:$R19)))</f>
        <v/>
      </c>
      <c r="AD19" s="39">
        <f>IF(SUMPRODUCT(('Matriz Criterios'!$H$33:$V$33="X")*ISNUMBER('Registro Notas'!$D19:$R19))=0, "-", SUMPRODUCT(('Matriz Criterios'!$H$33:$V$33="X")*ISNUMBER('Registro Notas'!$D19:$R19)*'Registro Notas'!$D19:$R19)/SUMPRODUCT(('Matriz Criterios'!$H$33:$V$33="X")*ISNUMBER('Registro Notas'!$D19:$R19)))</f>
        <v/>
      </c>
      <c r="AE19" s="39">
        <f>IF(SUMPRODUCT(('Matriz Criterios'!$H$34:$V$34="X")*ISNUMBER('Registro Notas'!$D19:$R19))=0, "-", SUMPRODUCT(('Matriz Criterios'!$H$34:$V$34="X")*ISNUMBER('Registro Notas'!$D19:$R19)*'Registro Notas'!$D19:$R19)/SUMPRODUCT(('Matriz Criterios'!$H$34:$V$34="X")*ISNUMBER('Registro Notas'!$D19:$R19)))</f>
        <v/>
      </c>
      <c r="AF19" s="39">
        <f>IF(SUMPRODUCT(('Matriz Criterios'!$H$35:$V$35="X")*ISNUMBER('Registro Notas'!$D19:$R19))=0, "-", SUMPRODUCT(('Matriz Criterios'!$H$35:$V$35="X")*ISNUMBER('Registro Notas'!$D19:$R19)*'Registro Notas'!$D19:$R19)/SUMPRODUCT(('Matriz Criterios'!$H$35:$V$35="X")*ISNUMBER('Registro Notas'!$D19:$R19)))</f>
        <v/>
      </c>
      <c r="AG19" s="39">
        <f>IF(SUMPRODUCT(('Matriz Criterios'!$H$36:$V$36="X")*ISNUMBER('Registro Notas'!$D19:$R19))=0, "-", SUMPRODUCT(('Matriz Criterios'!$H$36:$V$36="X")*ISNUMBER('Registro Notas'!$D19:$R19)*'Registro Notas'!$D19:$R19)/SUMPRODUCT(('Matriz Criterios'!$H$36:$V$36="X")*ISNUMBER('Registro Notas'!$D19:$R19)))</f>
        <v/>
      </c>
      <c r="AH19" s="39">
        <f>IF(SUMPRODUCT(('Matriz Criterios'!$H$37:$V$37="X")*ISNUMBER('Registro Notas'!$D19:$R19))=0, "-", SUMPRODUCT(('Matriz Criterios'!$H$37:$V$37="X")*ISNUMBER('Registro Notas'!$D19:$R19)*'Registro Notas'!$D19:$R19)/SUMPRODUCT(('Matriz Criterios'!$H$37:$V$37="X")*ISNUMBER('Registro Notas'!$D19:$R19)))</f>
        <v/>
      </c>
      <c r="AI19" s="39">
        <f>IF(SUMPRODUCT(('Matriz Criterios'!$H$38:$V$38="X")*ISNUMBER('Registro Notas'!$D19:$R19))=0, "-", SUMPRODUCT(('Matriz Criterios'!$H$38:$V$38="X")*ISNUMBER('Registro Notas'!$D19:$R19)*'Registro Notas'!$D19:$R19)/SUMPRODUCT(('Matriz Criterios'!$H$38:$V$38="X")*ISNUMBER('Registro Notas'!$D19:$R19)))</f>
        <v/>
      </c>
      <c r="AJ19" s="39">
        <f>IF(SUMPRODUCT(('Matriz Criterios'!$H$39:$V$39="X")*ISNUMBER('Registro Notas'!$D19:$R19))=0, "-", SUMPRODUCT(('Matriz Criterios'!$H$39:$V$39="X")*ISNUMBER('Registro Notas'!$D19:$R19)*'Registro Notas'!$D19:$R19)/SUMPRODUCT(('Matriz Criterios'!$H$39:$V$39="X")*ISNUMBER('Registro Notas'!$D19:$R19)))</f>
        <v/>
      </c>
      <c r="AK19" s="39">
        <f>IF(SUMPRODUCT(('Matriz Criterios'!$H$40:$V$40="X")*ISNUMBER('Registro Notas'!$D19:$R19))=0, "-", SUMPRODUCT(('Matriz Criterios'!$H$40:$V$40="X")*ISNUMBER('Registro Notas'!$D19:$R19)*'Registro Notas'!$D19:$R19)/SUMPRODUCT(('Matriz Criterios'!$H$40:$V$40="X")*ISNUMBER('Registro Notas'!$D19:$R19)))</f>
        <v/>
      </c>
      <c r="AL19" s="39">
        <f>IF(SUMPRODUCT(('Matriz Criterios'!$H$41:$V$41="X")*ISNUMBER('Registro Notas'!$D19:$R19))=0, "-", SUMPRODUCT(('Matriz Criterios'!$H$41:$V$41="X")*ISNUMBER('Registro Notas'!$D19:$R19)*'Registro Notas'!$D19:$R19)/SUMPRODUCT(('Matriz Criterios'!$H$41:$V$41="X")*ISNUMBER('Registro Notas'!$D19:$R19)))</f>
        <v/>
      </c>
      <c r="AM19" s="39">
        <f>IF(SUMPRODUCT(('Matriz Criterios'!$H$42:$V$42="X")*ISNUMBER('Registro Notas'!$D19:$R19))=0, "-", SUMPRODUCT(('Matriz Criterios'!$H$42:$V$42="X")*ISNUMBER('Registro Notas'!$D19:$R19)*'Registro Notas'!$D19:$R19)/SUMPRODUCT(('Matriz Criterios'!$H$42:$V$42="X")*ISNUMBER('Registro Notas'!$D19:$R19)))</f>
        <v/>
      </c>
      <c r="AN19" s="39">
        <f>IF(SUMPRODUCT(('Matriz Criterios'!$H$43:$V$43="X")*ISNUMBER('Registro Notas'!$D19:$R19))=0, "-", SUMPRODUCT(('Matriz Criterios'!$H$43:$V$43="X")*ISNUMBER('Registro Notas'!$D19:$R19)*'Registro Notas'!$D19:$R19)/SUMPRODUCT(('Matriz Criterios'!$H$43:$V$43="X")*ISNUMBER('Registro Notas'!$D19:$R19)))</f>
        <v/>
      </c>
      <c r="AO19" s="39">
        <f>IF(SUMPRODUCT(('Matriz Criterios'!$H$44:$V$44="X")*ISNUMBER('Registro Notas'!$D19:$R19))=0, "-", SUMPRODUCT(('Matriz Criterios'!$H$44:$V$44="X")*ISNUMBER('Registro Notas'!$D19:$R19)*'Registro Notas'!$D19:$R19)/SUMPRODUCT(('Matriz Criterios'!$H$44:$V$44="X")*ISNUMBER('Registro Notas'!$D19:$R19)))</f>
        <v/>
      </c>
      <c r="AP19" s="39">
        <f>IF(SUMPRODUCT(('Matriz Criterios'!$H$45:$V$45="X")*ISNUMBER('Registro Notas'!$D19:$R19))=0, "-", SUMPRODUCT(('Matriz Criterios'!$H$45:$V$45="X")*ISNUMBER('Registro Notas'!$D19:$R19)*'Registro Notas'!$D19:$R19)/SUMPRODUCT(('Matriz Criterios'!$H$45:$V$45="X")*ISNUMBER('Registro Notas'!$D19:$R19)))</f>
        <v/>
      </c>
      <c r="AQ19" s="39">
        <f>IF(SUMPRODUCT(('Matriz Criterios'!$H$46:$V$46="X")*ISNUMBER('Registro Notas'!$D19:$R19))=0, "-", SUMPRODUCT(('Matriz Criterios'!$H$46:$V$46="X")*ISNUMBER('Registro Notas'!$D19:$R19)*'Registro Notas'!$D19:$R19)/SUMPRODUCT(('Matriz Criterios'!$H$46:$V$46="X")*ISNUMBER('Registro Notas'!$D19:$R19)))</f>
        <v/>
      </c>
      <c r="AR19" s="39">
        <f>IF(SUMPRODUCT(('Matriz Criterios'!$H$47:$V$47="X")*ISNUMBER('Registro Notas'!$D19:$R19))=0, "-", SUMPRODUCT(('Matriz Criterios'!$H$47:$V$47="X")*ISNUMBER('Registro Notas'!$D19:$R19)*'Registro Notas'!$D19:$R19)/SUMPRODUCT(('Matriz Criterios'!$H$47:$V$47="X")*ISNUMBER('Registro Notas'!$D19:$R19)))</f>
        <v/>
      </c>
      <c r="AS19" s="39">
        <f>IF(SUMPRODUCT(('Matriz Criterios'!$H$48:$V$48="X")*ISNUMBER('Registro Notas'!$D19:$R19))=0, "-", SUMPRODUCT(('Matriz Criterios'!$H$48:$V$48="X")*ISNUMBER('Registro Notas'!$D19:$R19)*'Registro Notas'!$D19:$R19)/SUMPRODUCT(('Matriz Criterios'!$H$48:$V$48="X")*ISNUMBER('Registro Notas'!$D19:$R19)))</f>
        <v/>
      </c>
      <c r="AT19" s="39">
        <f>IF(SUMPRODUCT(('Matriz Criterios'!$H$49:$V$49="X")*ISNUMBER('Registro Notas'!$D19:$R19))=0, "-", SUMPRODUCT(('Matriz Criterios'!$H$49:$V$49="X")*ISNUMBER('Registro Notas'!$D19:$R19)*'Registro Notas'!$D19:$R19)/SUMPRODUCT(('Matriz Criterios'!$H$49:$V$49="X")*ISNUMBER('Registro Notas'!$D19:$R19)))</f>
        <v/>
      </c>
      <c r="AU19" s="39">
        <f>IF(SUMPRODUCT(('Matriz Criterios'!$H$50:$V$50="X")*ISNUMBER('Registro Notas'!$D19:$R19))=0, "-", SUMPRODUCT(('Matriz Criterios'!$H$50:$V$50="X")*ISNUMBER('Registro Notas'!$D19:$R19)*'Registro Notas'!$D19:$R19)/SUMPRODUCT(('Matriz Criterios'!$H$50:$V$50="X")*ISNUMBER('Registro Notas'!$D19:$R19)))</f>
        <v/>
      </c>
      <c r="AV19" s="50">
        <f>AVERAGE(C19:AU19)</f>
        <v/>
      </c>
      <c r="AW19" s="51">
        <f>COUNTIF(C19:AU19, "&gt;=5")</f>
        <v/>
      </c>
    </row>
    <row r="20" ht="20" customHeight="1">
      <c r="A20" s="13" t="n">
        <v>15</v>
      </c>
      <c r="B20" s="34" t="inlineStr">
        <is>
          <t>Torres Lozano, Irene</t>
        </is>
      </c>
      <c r="C20" s="35">
        <f>IF(SUMPRODUCT(('Matriz Criterios'!$H$6:$V$6="X")*ISNUMBER('Registro Notas'!$D20:$R20))=0, "-", SUMPRODUCT(('Matriz Criterios'!$H$6:$V$6="X")*ISNUMBER('Registro Notas'!$D20:$R20)*'Registro Notas'!$D20:$R20)/SUMPRODUCT(('Matriz Criterios'!$H$6:$V$6="X")*ISNUMBER('Registro Notas'!$D20:$R20)))</f>
        <v/>
      </c>
      <c r="D20" s="35">
        <f>IF(SUMPRODUCT(('Matriz Criterios'!$H$7:$V$7="X")*ISNUMBER('Registro Notas'!$D20:$R20))=0, "-", SUMPRODUCT(('Matriz Criterios'!$H$7:$V$7="X")*ISNUMBER('Registro Notas'!$D20:$R20)*'Registro Notas'!$D20:$R20)/SUMPRODUCT(('Matriz Criterios'!$H$7:$V$7="X")*ISNUMBER('Registro Notas'!$D20:$R20)))</f>
        <v/>
      </c>
      <c r="E20" s="35">
        <f>IF(SUMPRODUCT(('Matriz Criterios'!$H$8:$V$8="X")*ISNUMBER('Registro Notas'!$D20:$R20))=0, "-", SUMPRODUCT(('Matriz Criterios'!$H$8:$V$8="X")*ISNUMBER('Registro Notas'!$D20:$R20)*'Registro Notas'!$D20:$R20)/SUMPRODUCT(('Matriz Criterios'!$H$8:$V$8="X")*ISNUMBER('Registro Notas'!$D20:$R20)))</f>
        <v/>
      </c>
      <c r="F20" s="35">
        <f>IF(SUMPRODUCT(('Matriz Criterios'!$H$9:$V$9="X")*ISNUMBER('Registro Notas'!$D20:$R20))=0, "-", SUMPRODUCT(('Matriz Criterios'!$H$9:$V$9="X")*ISNUMBER('Registro Notas'!$D20:$R20)*'Registro Notas'!$D20:$R20)/SUMPRODUCT(('Matriz Criterios'!$H$9:$V$9="X")*ISNUMBER('Registro Notas'!$D20:$R20)))</f>
        <v/>
      </c>
      <c r="G20" s="35">
        <f>IF(SUMPRODUCT(('Matriz Criterios'!$H$10:$V$10="X")*ISNUMBER('Registro Notas'!$D20:$R20))=0, "-", SUMPRODUCT(('Matriz Criterios'!$H$10:$V$10="X")*ISNUMBER('Registro Notas'!$D20:$R20)*'Registro Notas'!$D20:$R20)/SUMPRODUCT(('Matriz Criterios'!$H$10:$V$10="X")*ISNUMBER('Registro Notas'!$D20:$R20)))</f>
        <v/>
      </c>
      <c r="H20" s="35">
        <f>IF(SUMPRODUCT(('Matriz Criterios'!$H$11:$V$11="X")*ISNUMBER('Registro Notas'!$D20:$R20))=0, "-", SUMPRODUCT(('Matriz Criterios'!$H$11:$V$11="X")*ISNUMBER('Registro Notas'!$D20:$R20)*'Registro Notas'!$D20:$R20)/SUMPRODUCT(('Matriz Criterios'!$H$11:$V$11="X")*ISNUMBER('Registro Notas'!$D20:$R20)))</f>
        <v/>
      </c>
      <c r="I20" s="35">
        <f>IF(SUMPRODUCT(('Matriz Criterios'!$H$12:$V$12="X")*ISNUMBER('Registro Notas'!$D20:$R20))=0, "-", SUMPRODUCT(('Matriz Criterios'!$H$12:$V$12="X")*ISNUMBER('Registro Notas'!$D20:$R20)*'Registro Notas'!$D20:$R20)/SUMPRODUCT(('Matriz Criterios'!$H$12:$V$12="X")*ISNUMBER('Registro Notas'!$D20:$R20)))</f>
        <v/>
      </c>
      <c r="J20" s="35">
        <f>IF(SUMPRODUCT(('Matriz Criterios'!$H$13:$V$13="X")*ISNUMBER('Registro Notas'!$D20:$R20))=0, "-", SUMPRODUCT(('Matriz Criterios'!$H$13:$V$13="X")*ISNUMBER('Registro Notas'!$D20:$R20)*'Registro Notas'!$D20:$R20)/SUMPRODUCT(('Matriz Criterios'!$H$13:$V$13="X")*ISNUMBER('Registro Notas'!$D20:$R20)))</f>
        <v/>
      </c>
      <c r="K20" s="35">
        <f>IF(SUMPRODUCT(('Matriz Criterios'!$H$14:$V$14="X")*ISNUMBER('Registro Notas'!$D20:$R20))=0, "-", SUMPRODUCT(('Matriz Criterios'!$H$14:$V$14="X")*ISNUMBER('Registro Notas'!$D20:$R20)*'Registro Notas'!$D20:$R20)/SUMPRODUCT(('Matriz Criterios'!$H$14:$V$14="X")*ISNUMBER('Registro Notas'!$D20:$R20)))</f>
        <v/>
      </c>
      <c r="L20" s="35">
        <f>IF(SUMPRODUCT(('Matriz Criterios'!$H$15:$V$15="X")*ISNUMBER('Registro Notas'!$D20:$R20))=0, "-", SUMPRODUCT(('Matriz Criterios'!$H$15:$V$15="X")*ISNUMBER('Registro Notas'!$D20:$R20)*'Registro Notas'!$D20:$R20)/SUMPRODUCT(('Matriz Criterios'!$H$15:$V$15="X")*ISNUMBER('Registro Notas'!$D20:$R20)))</f>
        <v/>
      </c>
      <c r="M20" s="35">
        <f>IF(SUMPRODUCT(('Matriz Criterios'!$H$16:$V$16="X")*ISNUMBER('Registro Notas'!$D20:$R20))=0, "-", SUMPRODUCT(('Matriz Criterios'!$H$16:$V$16="X")*ISNUMBER('Registro Notas'!$D20:$R20)*'Registro Notas'!$D20:$R20)/SUMPRODUCT(('Matriz Criterios'!$H$16:$V$16="X")*ISNUMBER('Registro Notas'!$D20:$R20)))</f>
        <v/>
      </c>
      <c r="N20" s="35">
        <f>IF(SUMPRODUCT(('Matriz Criterios'!$H$17:$V$17="X")*ISNUMBER('Registro Notas'!$D20:$R20))=0, "-", SUMPRODUCT(('Matriz Criterios'!$H$17:$V$17="X")*ISNUMBER('Registro Notas'!$D20:$R20)*'Registro Notas'!$D20:$R20)/SUMPRODUCT(('Matriz Criterios'!$H$17:$V$17="X")*ISNUMBER('Registro Notas'!$D20:$R20)))</f>
        <v/>
      </c>
      <c r="O20" s="35">
        <f>IF(SUMPRODUCT(('Matriz Criterios'!$H$18:$V$18="X")*ISNUMBER('Registro Notas'!$D20:$R20))=0, "-", SUMPRODUCT(('Matriz Criterios'!$H$18:$V$18="X")*ISNUMBER('Registro Notas'!$D20:$R20)*'Registro Notas'!$D20:$R20)/SUMPRODUCT(('Matriz Criterios'!$H$18:$V$18="X")*ISNUMBER('Registro Notas'!$D20:$R20)))</f>
        <v/>
      </c>
      <c r="P20" s="35">
        <f>IF(SUMPRODUCT(('Matriz Criterios'!$H$19:$V$19="X")*ISNUMBER('Registro Notas'!$D20:$R20))=0, "-", SUMPRODUCT(('Matriz Criterios'!$H$19:$V$19="X")*ISNUMBER('Registro Notas'!$D20:$R20)*'Registro Notas'!$D20:$R20)/SUMPRODUCT(('Matriz Criterios'!$H$19:$V$19="X")*ISNUMBER('Registro Notas'!$D20:$R20)))</f>
        <v/>
      </c>
      <c r="Q20" s="35">
        <f>IF(SUMPRODUCT(('Matriz Criterios'!$H$20:$V$20="X")*ISNUMBER('Registro Notas'!$D20:$R20))=0, "-", SUMPRODUCT(('Matriz Criterios'!$H$20:$V$20="X")*ISNUMBER('Registro Notas'!$D20:$R20)*'Registro Notas'!$D20:$R20)/SUMPRODUCT(('Matriz Criterios'!$H$20:$V$20="X")*ISNUMBER('Registro Notas'!$D20:$R20)))</f>
        <v/>
      </c>
      <c r="R20" s="35">
        <f>IF(SUMPRODUCT(('Matriz Criterios'!$H$21:$V$21="X")*ISNUMBER('Registro Notas'!$D20:$R20))=0, "-", SUMPRODUCT(('Matriz Criterios'!$H$21:$V$21="X")*ISNUMBER('Registro Notas'!$D20:$R20)*'Registro Notas'!$D20:$R20)/SUMPRODUCT(('Matriz Criterios'!$H$21:$V$21="X")*ISNUMBER('Registro Notas'!$D20:$R20)))</f>
        <v/>
      </c>
      <c r="S20" s="35">
        <f>IF(SUMPRODUCT(('Matriz Criterios'!$H$22:$V$22="X")*ISNUMBER('Registro Notas'!$D20:$R20))=0, "-", SUMPRODUCT(('Matriz Criterios'!$H$22:$V$22="X")*ISNUMBER('Registro Notas'!$D20:$R20)*'Registro Notas'!$D20:$R20)/SUMPRODUCT(('Matriz Criterios'!$H$22:$V$22="X")*ISNUMBER('Registro Notas'!$D20:$R20)))</f>
        <v/>
      </c>
      <c r="T20" s="35">
        <f>IF(SUMPRODUCT(('Matriz Criterios'!$H$23:$V$23="X")*ISNUMBER('Registro Notas'!$D20:$R20))=0, "-", SUMPRODUCT(('Matriz Criterios'!$H$23:$V$23="X")*ISNUMBER('Registro Notas'!$D20:$R20)*'Registro Notas'!$D20:$R20)/SUMPRODUCT(('Matriz Criterios'!$H$23:$V$23="X")*ISNUMBER('Registro Notas'!$D20:$R20)))</f>
        <v/>
      </c>
      <c r="U20" s="35">
        <f>IF(SUMPRODUCT(('Matriz Criterios'!$H$24:$V$24="X")*ISNUMBER('Registro Notas'!$D20:$R20))=0, "-", SUMPRODUCT(('Matriz Criterios'!$H$24:$V$24="X")*ISNUMBER('Registro Notas'!$D20:$R20)*'Registro Notas'!$D20:$R20)/SUMPRODUCT(('Matriz Criterios'!$H$24:$V$24="X")*ISNUMBER('Registro Notas'!$D20:$R20)))</f>
        <v/>
      </c>
      <c r="V20" s="35">
        <f>IF(SUMPRODUCT(('Matriz Criterios'!$H$25:$V$25="X")*ISNUMBER('Registro Notas'!$D20:$R20))=0, "-", SUMPRODUCT(('Matriz Criterios'!$H$25:$V$25="X")*ISNUMBER('Registro Notas'!$D20:$R20)*'Registro Notas'!$D20:$R20)/SUMPRODUCT(('Matriz Criterios'!$H$25:$V$25="X")*ISNUMBER('Registro Notas'!$D20:$R20)))</f>
        <v/>
      </c>
      <c r="W20" s="35">
        <f>IF(SUMPRODUCT(('Matriz Criterios'!$H$26:$V$26="X")*ISNUMBER('Registro Notas'!$D20:$R20))=0, "-", SUMPRODUCT(('Matriz Criterios'!$H$26:$V$26="X")*ISNUMBER('Registro Notas'!$D20:$R20)*'Registro Notas'!$D20:$R20)/SUMPRODUCT(('Matriz Criterios'!$H$26:$V$26="X")*ISNUMBER('Registro Notas'!$D20:$R20)))</f>
        <v/>
      </c>
      <c r="X20" s="35">
        <f>IF(SUMPRODUCT(('Matriz Criterios'!$H$27:$V$27="X")*ISNUMBER('Registro Notas'!$D20:$R20))=0, "-", SUMPRODUCT(('Matriz Criterios'!$H$27:$V$27="X")*ISNUMBER('Registro Notas'!$D20:$R20)*'Registro Notas'!$D20:$R20)/SUMPRODUCT(('Matriz Criterios'!$H$27:$V$27="X")*ISNUMBER('Registro Notas'!$D20:$R20)))</f>
        <v/>
      </c>
      <c r="Y20" s="35">
        <f>IF(SUMPRODUCT(('Matriz Criterios'!$H$28:$V$28="X")*ISNUMBER('Registro Notas'!$D20:$R20))=0, "-", SUMPRODUCT(('Matriz Criterios'!$H$28:$V$28="X")*ISNUMBER('Registro Notas'!$D20:$R20)*'Registro Notas'!$D20:$R20)/SUMPRODUCT(('Matriz Criterios'!$H$28:$V$28="X")*ISNUMBER('Registro Notas'!$D20:$R20)))</f>
        <v/>
      </c>
      <c r="Z20" s="35">
        <f>IF(SUMPRODUCT(('Matriz Criterios'!$H$29:$V$29="X")*ISNUMBER('Registro Notas'!$D20:$R20))=0, "-", SUMPRODUCT(('Matriz Criterios'!$H$29:$V$29="X")*ISNUMBER('Registro Notas'!$D20:$R20)*'Registro Notas'!$D20:$R20)/SUMPRODUCT(('Matriz Criterios'!$H$29:$V$29="X")*ISNUMBER('Registro Notas'!$D20:$R20)))</f>
        <v/>
      </c>
      <c r="AA20" s="35">
        <f>IF(SUMPRODUCT(('Matriz Criterios'!$H$30:$V$30="X")*ISNUMBER('Registro Notas'!$D20:$R20))=0, "-", SUMPRODUCT(('Matriz Criterios'!$H$30:$V$30="X")*ISNUMBER('Registro Notas'!$D20:$R20)*'Registro Notas'!$D20:$R20)/SUMPRODUCT(('Matriz Criterios'!$H$30:$V$30="X")*ISNUMBER('Registro Notas'!$D20:$R20)))</f>
        <v/>
      </c>
      <c r="AB20" s="35">
        <f>IF(SUMPRODUCT(('Matriz Criterios'!$H$31:$V$31="X")*ISNUMBER('Registro Notas'!$D20:$R20))=0, "-", SUMPRODUCT(('Matriz Criterios'!$H$31:$V$31="X")*ISNUMBER('Registro Notas'!$D20:$R20)*'Registro Notas'!$D20:$R20)/SUMPRODUCT(('Matriz Criterios'!$H$31:$V$31="X")*ISNUMBER('Registro Notas'!$D20:$R20)))</f>
        <v/>
      </c>
      <c r="AC20" s="35">
        <f>IF(SUMPRODUCT(('Matriz Criterios'!$H$32:$V$32="X")*ISNUMBER('Registro Notas'!$D20:$R20))=0, "-", SUMPRODUCT(('Matriz Criterios'!$H$32:$V$32="X")*ISNUMBER('Registro Notas'!$D20:$R20)*'Registro Notas'!$D20:$R20)/SUMPRODUCT(('Matriz Criterios'!$H$32:$V$32="X")*ISNUMBER('Registro Notas'!$D20:$R20)))</f>
        <v/>
      </c>
      <c r="AD20" s="35">
        <f>IF(SUMPRODUCT(('Matriz Criterios'!$H$33:$V$33="X")*ISNUMBER('Registro Notas'!$D20:$R20))=0, "-", SUMPRODUCT(('Matriz Criterios'!$H$33:$V$33="X")*ISNUMBER('Registro Notas'!$D20:$R20)*'Registro Notas'!$D20:$R20)/SUMPRODUCT(('Matriz Criterios'!$H$33:$V$33="X")*ISNUMBER('Registro Notas'!$D20:$R20)))</f>
        <v/>
      </c>
      <c r="AE20" s="35">
        <f>IF(SUMPRODUCT(('Matriz Criterios'!$H$34:$V$34="X")*ISNUMBER('Registro Notas'!$D20:$R20))=0, "-", SUMPRODUCT(('Matriz Criterios'!$H$34:$V$34="X")*ISNUMBER('Registro Notas'!$D20:$R20)*'Registro Notas'!$D20:$R20)/SUMPRODUCT(('Matriz Criterios'!$H$34:$V$34="X")*ISNUMBER('Registro Notas'!$D20:$R20)))</f>
        <v/>
      </c>
      <c r="AF20" s="35">
        <f>IF(SUMPRODUCT(('Matriz Criterios'!$H$35:$V$35="X")*ISNUMBER('Registro Notas'!$D20:$R20))=0, "-", SUMPRODUCT(('Matriz Criterios'!$H$35:$V$35="X")*ISNUMBER('Registro Notas'!$D20:$R20)*'Registro Notas'!$D20:$R20)/SUMPRODUCT(('Matriz Criterios'!$H$35:$V$35="X")*ISNUMBER('Registro Notas'!$D20:$R20)))</f>
        <v/>
      </c>
      <c r="AG20" s="35">
        <f>IF(SUMPRODUCT(('Matriz Criterios'!$H$36:$V$36="X")*ISNUMBER('Registro Notas'!$D20:$R20))=0, "-", SUMPRODUCT(('Matriz Criterios'!$H$36:$V$36="X")*ISNUMBER('Registro Notas'!$D20:$R20)*'Registro Notas'!$D20:$R20)/SUMPRODUCT(('Matriz Criterios'!$H$36:$V$36="X")*ISNUMBER('Registro Notas'!$D20:$R20)))</f>
        <v/>
      </c>
      <c r="AH20" s="35">
        <f>IF(SUMPRODUCT(('Matriz Criterios'!$H$37:$V$37="X")*ISNUMBER('Registro Notas'!$D20:$R20))=0, "-", SUMPRODUCT(('Matriz Criterios'!$H$37:$V$37="X")*ISNUMBER('Registro Notas'!$D20:$R20)*'Registro Notas'!$D20:$R20)/SUMPRODUCT(('Matriz Criterios'!$H$37:$V$37="X")*ISNUMBER('Registro Notas'!$D20:$R20)))</f>
        <v/>
      </c>
      <c r="AI20" s="35">
        <f>IF(SUMPRODUCT(('Matriz Criterios'!$H$38:$V$38="X")*ISNUMBER('Registro Notas'!$D20:$R20))=0, "-", SUMPRODUCT(('Matriz Criterios'!$H$38:$V$38="X")*ISNUMBER('Registro Notas'!$D20:$R20)*'Registro Notas'!$D20:$R20)/SUMPRODUCT(('Matriz Criterios'!$H$38:$V$38="X")*ISNUMBER('Registro Notas'!$D20:$R20)))</f>
        <v/>
      </c>
      <c r="AJ20" s="35">
        <f>IF(SUMPRODUCT(('Matriz Criterios'!$H$39:$V$39="X")*ISNUMBER('Registro Notas'!$D20:$R20))=0, "-", SUMPRODUCT(('Matriz Criterios'!$H$39:$V$39="X")*ISNUMBER('Registro Notas'!$D20:$R20)*'Registro Notas'!$D20:$R20)/SUMPRODUCT(('Matriz Criterios'!$H$39:$V$39="X")*ISNUMBER('Registro Notas'!$D20:$R20)))</f>
        <v/>
      </c>
      <c r="AK20" s="35">
        <f>IF(SUMPRODUCT(('Matriz Criterios'!$H$40:$V$40="X")*ISNUMBER('Registro Notas'!$D20:$R20))=0, "-", SUMPRODUCT(('Matriz Criterios'!$H$40:$V$40="X")*ISNUMBER('Registro Notas'!$D20:$R20)*'Registro Notas'!$D20:$R20)/SUMPRODUCT(('Matriz Criterios'!$H$40:$V$40="X")*ISNUMBER('Registro Notas'!$D20:$R20)))</f>
        <v/>
      </c>
      <c r="AL20" s="35">
        <f>IF(SUMPRODUCT(('Matriz Criterios'!$H$41:$V$41="X")*ISNUMBER('Registro Notas'!$D20:$R20))=0, "-", SUMPRODUCT(('Matriz Criterios'!$H$41:$V$41="X")*ISNUMBER('Registro Notas'!$D20:$R20)*'Registro Notas'!$D20:$R20)/SUMPRODUCT(('Matriz Criterios'!$H$41:$V$41="X")*ISNUMBER('Registro Notas'!$D20:$R20)))</f>
        <v/>
      </c>
      <c r="AM20" s="35">
        <f>IF(SUMPRODUCT(('Matriz Criterios'!$H$42:$V$42="X")*ISNUMBER('Registro Notas'!$D20:$R20))=0, "-", SUMPRODUCT(('Matriz Criterios'!$H$42:$V$42="X")*ISNUMBER('Registro Notas'!$D20:$R20)*'Registro Notas'!$D20:$R20)/SUMPRODUCT(('Matriz Criterios'!$H$42:$V$42="X")*ISNUMBER('Registro Notas'!$D20:$R20)))</f>
        <v/>
      </c>
      <c r="AN20" s="35">
        <f>IF(SUMPRODUCT(('Matriz Criterios'!$H$43:$V$43="X")*ISNUMBER('Registro Notas'!$D20:$R20))=0, "-", SUMPRODUCT(('Matriz Criterios'!$H$43:$V$43="X")*ISNUMBER('Registro Notas'!$D20:$R20)*'Registro Notas'!$D20:$R20)/SUMPRODUCT(('Matriz Criterios'!$H$43:$V$43="X")*ISNUMBER('Registro Notas'!$D20:$R20)))</f>
        <v/>
      </c>
      <c r="AO20" s="35">
        <f>IF(SUMPRODUCT(('Matriz Criterios'!$H$44:$V$44="X")*ISNUMBER('Registro Notas'!$D20:$R20))=0, "-", SUMPRODUCT(('Matriz Criterios'!$H$44:$V$44="X")*ISNUMBER('Registro Notas'!$D20:$R20)*'Registro Notas'!$D20:$R20)/SUMPRODUCT(('Matriz Criterios'!$H$44:$V$44="X")*ISNUMBER('Registro Notas'!$D20:$R20)))</f>
        <v/>
      </c>
      <c r="AP20" s="35">
        <f>IF(SUMPRODUCT(('Matriz Criterios'!$H$45:$V$45="X")*ISNUMBER('Registro Notas'!$D20:$R20))=0, "-", SUMPRODUCT(('Matriz Criterios'!$H$45:$V$45="X")*ISNUMBER('Registro Notas'!$D20:$R20)*'Registro Notas'!$D20:$R20)/SUMPRODUCT(('Matriz Criterios'!$H$45:$V$45="X")*ISNUMBER('Registro Notas'!$D20:$R20)))</f>
        <v/>
      </c>
      <c r="AQ20" s="35">
        <f>IF(SUMPRODUCT(('Matriz Criterios'!$H$46:$V$46="X")*ISNUMBER('Registro Notas'!$D20:$R20))=0, "-", SUMPRODUCT(('Matriz Criterios'!$H$46:$V$46="X")*ISNUMBER('Registro Notas'!$D20:$R20)*'Registro Notas'!$D20:$R20)/SUMPRODUCT(('Matriz Criterios'!$H$46:$V$46="X")*ISNUMBER('Registro Notas'!$D20:$R20)))</f>
        <v/>
      </c>
      <c r="AR20" s="35">
        <f>IF(SUMPRODUCT(('Matriz Criterios'!$H$47:$V$47="X")*ISNUMBER('Registro Notas'!$D20:$R20))=0, "-", SUMPRODUCT(('Matriz Criterios'!$H$47:$V$47="X")*ISNUMBER('Registro Notas'!$D20:$R20)*'Registro Notas'!$D20:$R20)/SUMPRODUCT(('Matriz Criterios'!$H$47:$V$47="X")*ISNUMBER('Registro Notas'!$D20:$R20)))</f>
        <v/>
      </c>
      <c r="AS20" s="35">
        <f>IF(SUMPRODUCT(('Matriz Criterios'!$H$48:$V$48="X")*ISNUMBER('Registro Notas'!$D20:$R20))=0, "-", SUMPRODUCT(('Matriz Criterios'!$H$48:$V$48="X")*ISNUMBER('Registro Notas'!$D20:$R20)*'Registro Notas'!$D20:$R20)/SUMPRODUCT(('Matriz Criterios'!$H$48:$V$48="X")*ISNUMBER('Registro Notas'!$D20:$R20)))</f>
        <v/>
      </c>
      <c r="AT20" s="35">
        <f>IF(SUMPRODUCT(('Matriz Criterios'!$H$49:$V$49="X")*ISNUMBER('Registro Notas'!$D20:$R20))=0, "-", SUMPRODUCT(('Matriz Criterios'!$H$49:$V$49="X")*ISNUMBER('Registro Notas'!$D20:$R20)*'Registro Notas'!$D20:$R20)/SUMPRODUCT(('Matriz Criterios'!$H$49:$V$49="X")*ISNUMBER('Registro Notas'!$D20:$R20)))</f>
        <v/>
      </c>
      <c r="AU20" s="35">
        <f>IF(SUMPRODUCT(('Matriz Criterios'!$H$50:$V$50="X")*ISNUMBER('Registro Notas'!$D20:$R20))=0, "-", SUMPRODUCT(('Matriz Criterios'!$H$50:$V$50="X")*ISNUMBER('Registro Notas'!$D20:$R20)*'Registro Notas'!$D20:$R20)/SUMPRODUCT(('Matriz Criterios'!$H$50:$V$50="X")*ISNUMBER('Registro Notas'!$D20:$R20)))</f>
        <v/>
      </c>
      <c r="AV20" s="50">
        <f>AVERAGE(C20:AU20)</f>
        <v/>
      </c>
      <c r="AW20" s="51">
        <f>COUNTIF(C20:AU20, "&gt;=5")</f>
        <v/>
      </c>
    </row>
    <row r="21" ht="24" customHeight="1">
      <c r="A21" s="40" t="inlineStr">
        <is>
          <t>PROMEDIO DEL GRUPO</t>
        </is>
      </c>
      <c r="B21" s="41" t="n"/>
      <c r="C21" s="42">
        <f>AVERAGE(C6:C20)</f>
        <v/>
      </c>
      <c r="D21" s="42">
        <f>AVERAGE(D6:D20)</f>
        <v/>
      </c>
      <c r="E21" s="42">
        <f>AVERAGE(E6:E20)</f>
        <v/>
      </c>
      <c r="F21" s="42">
        <f>AVERAGE(F6:F20)</f>
        <v/>
      </c>
      <c r="G21" s="42">
        <f>AVERAGE(G6:G20)</f>
        <v/>
      </c>
      <c r="H21" s="42">
        <f>AVERAGE(H6:H20)</f>
        <v/>
      </c>
      <c r="I21" s="42">
        <f>AVERAGE(I6:I20)</f>
        <v/>
      </c>
      <c r="J21" s="42">
        <f>AVERAGE(J6:J20)</f>
        <v/>
      </c>
      <c r="K21" s="42">
        <f>AVERAGE(K6:K20)</f>
        <v/>
      </c>
      <c r="L21" s="42">
        <f>AVERAGE(L6:L20)</f>
        <v/>
      </c>
      <c r="M21" s="42">
        <f>AVERAGE(M6:M20)</f>
        <v/>
      </c>
      <c r="N21" s="42">
        <f>AVERAGE(N6:N20)</f>
        <v/>
      </c>
      <c r="O21" s="42">
        <f>AVERAGE(O6:O20)</f>
        <v/>
      </c>
      <c r="P21" s="42">
        <f>AVERAGE(P6:P20)</f>
        <v/>
      </c>
      <c r="Q21" s="42">
        <f>AVERAGE(Q6:Q20)</f>
        <v/>
      </c>
      <c r="R21" s="42">
        <f>AVERAGE(R6:R20)</f>
        <v/>
      </c>
      <c r="S21" s="42">
        <f>AVERAGE(S6:S20)</f>
        <v/>
      </c>
      <c r="T21" s="42">
        <f>AVERAGE(T6:T20)</f>
        <v/>
      </c>
      <c r="U21" s="42">
        <f>AVERAGE(U6:U20)</f>
        <v/>
      </c>
      <c r="V21" s="42">
        <f>AVERAGE(V6:V20)</f>
        <v/>
      </c>
      <c r="W21" s="42">
        <f>AVERAGE(W6:W20)</f>
        <v/>
      </c>
      <c r="X21" s="42">
        <f>AVERAGE(X6:X20)</f>
        <v/>
      </c>
      <c r="Y21" s="42">
        <f>AVERAGE(Y6:Y20)</f>
        <v/>
      </c>
      <c r="Z21" s="42">
        <f>AVERAGE(Z6:Z20)</f>
        <v/>
      </c>
      <c r="AA21" s="42">
        <f>AVERAGE(AA6:AA20)</f>
        <v/>
      </c>
      <c r="AB21" s="42">
        <f>AVERAGE(AB6:AB20)</f>
        <v/>
      </c>
      <c r="AC21" s="42">
        <f>AVERAGE(AC6:AC20)</f>
        <v/>
      </c>
      <c r="AD21" s="42">
        <f>AVERAGE(AD6:AD20)</f>
        <v/>
      </c>
      <c r="AE21" s="42">
        <f>AVERAGE(AE6:AE20)</f>
        <v/>
      </c>
      <c r="AF21" s="42">
        <f>AVERAGE(AF6:AF20)</f>
        <v/>
      </c>
      <c r="AG21" s="42">
        <f>AVERAGE(AG6:AG20)</f>
        <v/>
      </c>
      <c r="AH21" s="42">
        <f>AVERAGE(AH6:AH20)</f>
        <v/>
      </c>
      <c r="AI21" s="42">
        <f>AVERAGE(AI6:AI20)</f>
        <v/>
      </c>
      <c r="AJ21" s="42">
        <f>AVERAGE(AJ6:AJ20)</f>
        <v/>
      </c>
      <c r="AK21" s="42">
        <f>AVERAGE(AK6:AK20)</f>
        <v/>
      </c>
      <c r="AL21" s="42">
        <f>AVERAGE(AL6:AL20)</f>
        <v/>
      </c>
      <c r="AM21" s="42">
        <f>AVERAGE(AM6:AM20)</f>
        <v/>
      </c>
      <c r="AN21" s="42">
        <f>AVERAGE(AN6:AN20)</f>
        <v/>
      </c>
      <c r="AO21" s="42">
        <f>AVERAGE(AO6:AO20)</f>
        <v/>
      </c>
      <c r="AP21" s="42">
        <f>AVERAGE(AP6:AP20)</f>
        <v/>
      </c>
      <c r="AQ21" s="42">
        <f>AVERAGE(AQ6:AQ20)</f>
        <v/>
      </c>
      <c r="AR21" s="42">
        <f>AVERAGE(AR6:AR20)</f>
        <v/>
      </c>
      <c r="AS21" s="42">
        <f>AVERAGE(AS6:AS20)</f>
        <v/>
      </c>
      <c r="AT21" s="42">
        <f>AVERAGE(AT6:AT20)</f>
        <v/>
      </c>
      <c r="AU21" s="42">
        <f>AVERAGE(AU6:AU20)</f>
        <v/>
      </c>
      <c r="AV21" s="42">
        <f>AVERAGE(AV6:AV20)</f>
        <v/>
      </c>
      <c r="AW21" s="42">
        <f>AVERAGE(AW6:AW20)</f>
        <v/>
      </c>
    </row>
  </sheetData>
  <mergeCells count="11">
    <mergeCell ref="A4:B4"/>
    <mergeCell ref="A1:AW1"/>
    <mergeCell ref="A21:B21"/>
    <mergeCell ref="AA4:AG4"/>
    <mergeCell ref="AH4:AO4"/>
    <mergeCell ref="I4:R4"/>
    <mergeCell ref="C4:H4"/>
    <mergeCell ref="A2:AW2"/>
    <mergeCell ref="AP4:AU4"/>
    <mergeCell ref="S4:Z4"/>
    <mergeCell ref="AV4:AW4"/>
  </mergeCells>
  <conditionalFormatting sqref="C6:AU20">
    <cfRule type="cellIs" priority="1" operator="greaterThanOrEqual" dxfId="0" stopIfTrue="1">
      <formula>5.0</formula>
    </cfRule>
    <cfRule type="cellIs" priority="2" operator="lessThan" dxfId="1" stopIfTrue="1">
      <formula>5.0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1" workbookViewId="0">
      <selection activeCell="A1" sqref="A1"/>
    </sheetView>
  </sheetViews>
  <sheetFormatPr baseColWidth="8" defaultRowHeight="15"/>
  <cols>
    <col width="5" customWidth="1" min="1" max="1"/>
    <col width="25" customWidth="1" min="2" max="2"/>
    <col width="16" customWidth="1" min="3" max="3"/>
    <col width="17" customWidth="1" min="4" max="4"/>
    <col width="16" customWidth="1" min="5" max="5"/>
    <col width="16" customWidth="1" min="6" max="6"/>
    <col width="16" customWidth="1" min="7" max="7"/>
    <col width="16" customWidth="1" min="8" max="8"/>
    <col width="18" customWidth="1" min="9" max="9"/>
  </cols>
  <sheetData>
    <row r="1" ht="36" customHeight="1">
      <c r="A1" s="1" t="inlineStr">
        <is>
          <t>CALIFICACIÓN POR RESULTADOS DE APRENDIZAJE (RA1 a RA6) — PONDERACIÓN OFICIAL DIW</t>
        </is>
      </c>
    </row>
    <row r="2" ht="20" customHeight="1">
      <c r="A2" s="2" t="inlineStr">
        <is>
          <t>Cada Resultado de Aprendizaje se obtiene de sus Criterios oficiales. La Nota Final aplica los coeficientes del Decreto 104/2024 y la Orden de 16/06/2011.</t>
        </is>
      </c>
    </row>
    <row r="4" ht="42" customHeight="1">
      <c r="A4" s="32" t="inlineStr">
        <is>
          <t>Nº</t>
        </is>
      </c>
      <c r="B4" s="32" t="inlineStr">
        <is>
          <t>Apellidos, Nombre</t>
        </is>
      </c>
      <c r="C4" s="8" t="inlineStr">
        <is>
          <t>RA1 (12%)
Planificación UI
Figma &amp; Estilos</t>
        </is>
      </c>
      <c r="D4" s="8" t="inlineStr">
        <is>
          <t>RA2 (20%)
Maquetación Web
CSS, Grid, Flex, TW4</t>
        </is>
      </c>
      <c r="E4" s="8" t="inlineStr">
        <is>
          <t>RA3 (16%)
Multimedia Web
SVG, Vídeo &amp; TRLPI</t>
        </is>
      </c>
      <c r="F4" s="8" t="inlineStr">
        <is>
          <t>RA4 (24%)
Interactividad Web
Angular &amp; Forms</t>
        </is>
      </c>
      <c r="G4" s="8" t="inlineStr">
        <is>
          <t>RA5 (16%)
Accesibilidad Web
WCAG 2.2 / WAI-ARIA</t>
        </is>
      </c>
      <c r="H4" s="8" t="inlineStr">
        <is>
          <t>RA6 (12%)
Usabilidad Web
Heurísticas &amp; DCU</t>
        </is>
      </c>
      <c r="I4" s="48" t="inlineStr">
        <is>
          <t>CALIFICACIÓN FINAL
ORDINARIA (100%)</t>
        </is>
      </c>
    </row>
    <row r="6" ht="20" customHeight="1">
      <c r="A6" s="13" t="n">
        <v>1</v>
      </c>
      <c r="B6" s="34" t="inlineStr">
        <is>
          <t>Álvarez Gómez, Laura</t>
        </is>
      </c>
      <c r="C6" s="35">
        <f>AVERAGE('Calculo CEs'!C6:H6)</f>
        <v/>
      </c>
      <c r="D6" s="35">
        <f>AVERAGE('Calculo CEs'!I6:R6)</f>
        <v/>
      </c>
      <c r="E6" s="35">
        <f>AVERAGE('Calculo CEs'!S6:Z6)</f>
        <v/>
      </c>
      <c r="F6" s="35">
        <f>('Calculo CEs'!AA6*0.02 + 'Calculo CEs'!AB6*0.02 + 'Calculo CEs'!AC6*0.04 + 'Calculo CEs'!AD6*0.04 + 'Calculo CEs'!AE6*0.04 + 'Calculo CEs'!AF6*0.04 + 'Calculo CEs'!AG6*0.04) / 0.24</f>
        <v/>
      </c>
      <c r="G6" s="35">
        <f>AVERAGE('Calculo CEs'!AH6:AO6)</f>
        <v/>
      </c>
      <c r="H6" s="35">
        <f>AVERAGE('Calculo CEs'!AP6:AU6)</f>
        <v/>
      </c>
      <c r="I6" s="52">
        <f>C6*0.12 + D6*0.20 + E6*0.16 + F6*0.24 + G6*0.16 + H6*0.12</f>
        <v/>
      </c>
    </row>
    <row r="7" ht="20" customHeight="1">
      <c r="A7" s="21" t="n">
        <v>2</v>
      </c>
      <c r="B7" s="38" t="inlineStr">
        <is>
          <t>Benítez Romero, Carlos</t>
        </is>
      </c>
      <c r="C7" s="39">
        <f>AVERAGE('Calculo CEs'!C7:H7)</f>
        <v/>
      </c>
      <c r="D7" s="39">
        <f>AVERAGE('Calculo CEs'!I7:R7)</f>
        <v/>
      </c>
      <c r="E7" s="39">
        <f>AVERAGE('Calculo CEs'!S7:Z7)</f>
        <v/>
      </c>
      <c r="F7" s="39">
        <f>('Calculo CEs'!AA7*0.02 + 'Calculo CEs'!AB7*0.02 + 'Calculo CEs'!AC7*0.04 + 'Calculo CEs'!AD7*0.04 + 'Calculo CEs'!AE7*0.04 + 'Calculo CEs'!AF7*0.04 + 'Calculo CEs'!AG7*0.04) / 0.24</f>
        <v/>
      </c>
      <c r="G7" s="39">
        <f>AVERAGE('Calculo CEs'!AH7:AO7)</f>
        <v/>
      </c>
      <c r="H7" s="39">
        <f>AVERAGE('Calculo CEs'!AP7:AU7)</f>
        <v/>
      </c>
      <c r="I7" s="52">
        <f>C7*0.12 + D7*0.20 + E7*0.16 + F7*0.24 + G7*0.16 + H7*0.12</f>
        <v/>
      </c>
    </row>
    <row r="8" ht="20" customHeight="1">
      <c r="A8" s="13" t="n">
        <v>3</v>
      </c>
      <c r="B8" s="34" t="inlineStr">
        <is>
          <t>Castillo Morales, Elena</t>
        </is>
      </c>
      <c r="C8" s="35">
        <f>AVERAGE('Calculo CEs'!C8:H8)</f>
        <v/>
      </c>
      <c r="D8" s="35">
        <f>AVERAGE('Calculo CEs'!I8:R8)</f>
        <v/>
      </c>
      <c r="E8" s="35">
        <f>AVERAGE('Calculo CEs'!S8:Z8)</f>
        <v/>
      </c>
      <c r="F8" s="35">
        <f>('Calculo CEs'!AA8*0.02 + 'Calculo CEs'!AB8*0.02 + 'Calculo CEs'!AC8*0.04 + 'Calculo CEs'!AD8*0.04 + 'Calculo CEs'!AE8*0.04 + 'Calculo CEs'!AF8*0.04 + 'Calculo CEs'!AG8*0.04) / 0.24</f>
        <v/>
      </c>
      <c r="G8" s="35">
        <f>AVERAGE('Calculo CEs'!AH8:AO8)</f>
        <v/>
      </c>
      <c r="H8" s="35">
        <f>AVERAGE('Calculo CEs'!AP8:AU8)</f>
        <v/>
      </c>
      <c r="I8" s="52">
        <f>C8*0.12 + D8*0.20 + E8*0.16 + F8*0.24 + G8*0.16 + H8*0.12</f>
        <v/>
      </c>
    </row>
    <row r="9" ht="20" customHeight="1">
      <c r="A9" s="21" t="n">
        <v>4</v>
      </c>
      <c r="B9" s="38" t="inlineStr">
        <is>
          <t>Delgado Santos, Alejandro</t>
        </is>
      </c>
      <c r="C9" s="39">
        <f>AVERAGE('Calculo CEs'!C9:H9)</f>
        <v/>
      </c>
      <c r="D9" s="39">
        <f>AVERAGE('Calculo CEs'!I9:R9)</f>
        <v/>
      </c>
      <c r="E9" s="39">
        <f>AVERAGE('Calculo CEs'!S9:Z9)</f>
        <v/>
      </c>
      <c r="F9" s="39">
        <f>('Calculo CEs'!AA9*0.02 + 'Calculo CEs'!AB9*0.02 + 'Calculo CEs'!AC9*0.04 + 'Calculo CEs'!AD9*0.04 + 'Calculo CEs'!AE9*0.04 + 'Calculo CEs'!AF9*0.04 + 'Calculo CEs'!AG9*0.04) / 0.24</f>
        <v/>
      </c>
      <c r="G9" s="39">
        <f>AVERAGE('Calculo CEs'!AH9:AO9)</f>
        <v/>
      </c>
      <c r="H9" s="39">
        <f>AVERAGE('Calculo CEs'!AP9:AU9)</f>
        <v/>
      </c>
      <c r="I9" s="52">
        <f>C9*0.12 + D9*0.20 + E9*0.16 + F9*0.24 + G9*0.16 + H9*0.12</f>
        <v/>
      </c>
    </row>
    <row r="10" ht="20" customHeight="1">
      <c r="A10" s="13" t="n">
        <v>5</v>
      </c>
      <c r="B10" s="34" t="inlineStr">
        <is>
          <t>Fernández Navarro, Lucía</t>
        </is>
      </c>
      <c r="C10" s="35">
        <f>AVERAGE('Calculo CEs'!C10:H10)</f>
        <v/>
      </c>
      <c r="D10" s="35">
        <f>AVERAGE('Calculo CEs'!I10:R10)</f>
        <v/>
      </c>
      <c r="E10" s="35">
        <f>AVERAGE('Calculo CEs'!S10:Z10)</f>
        <v/>
      </c>
      <c r="F10" s="35">
        <f>('Calculo CEs'!AA10*0.02 + 'Calculo CEs'!AB10*0.02 + 'Calculo CEs'!AC10*0.04 + 'Calculo CEs'!AD10*0.04 + 'Calculo CEs'!AE10*0.04 + 'Calculo CEs'!AF10*0.04 + 'Calculo CEs'!AG10*0.04) / 0.24</f>
        <v/>
      </c>
      <c r="G10" s="35">
        <f>AVERAGE('Calculo CEs'!AH10:AO10)</f>
        <v/>
      </c>
      <c r="H10" s="35">
        <f>AVERAGE('Calculo CEs'!AP10:AU10)</f>
        <v/>
      </c>
      <c r="I10" s="52">
        <f>C10*0.12 + D10*0.20 + E10*0.16 + F10*0.24 + G10*0.16 + H10*0.12</f>
        <v/>
      </c>
    </row>
    <row r="11" ht="20" customHeight="1">
      <c r="A11" s="21" t="n">
        <v>6</v>
      </c>
      <c r="B11" s="38" t="inlineStr">
        <is>
          <t>García Serrano, David</t>
        </is>
      </c>
      <c r="C11" s="39">
        <f>AVERAGE('Calculo CEs'!C11:H11)</f>
        <v/>
      </c>
      <c r="D11" s="39">
        <f>AVERAGE('Calculo CEs'!I11:R11)</f>
        <v/>
      </c>
      <c r="E11" s="39">
        <f>AVERAGE('Calculo CEs'!S11:Z11)</f>
        <v/>
      </c>
      <c r="F11" s="39">
        <f>('Calculo CEs'!AA11*0.02 + 'Calculo CEs'!AB11*0.02 + 'Calculo CEs'!AC11*0.04 + 'Calculo CEs'!AD11*0.04 + 'Calculo CEs'!AE11*0.04 + 'Calculo CEs'!AF11*0.04 + 'Calculo CEs'!AG11*0.04) / 0.24</f>
        <v/>
      </c>
      <c r="G11" s="39">
        <f>AVERAGE('Calculo CEs'!AH11:AO11)</f>
        <v/>
      </c>
      <c r="H11" s="39">
        <f>AVERAGE('Calculo CEs'!AP11:AU11)</f>
        <v/>
      </c>
      <c r="I11" s="52">
        <f>C11*0.12 + D11*0.20 + E11*0.16 + F11*0.24 + G11*0.16 + H11*0.12</f>
        <v/>
      </c>
    </row>
    <row r="12" ht="20" customHeight="1">
      <c r="A12" s="13" t="n">
        <v>7</v>
      </c>
      <c r="B12" s="34" t="inlineStr">
        <is>
          <t>Herrera Cruz, Marta</t>
        </is>
      </c>
      <c r="C12" s="35">
        <f>AVERAGE('Calculo CEs'!C12:H12)</f>
        <v/>
      </c>
      <c r="D12" s="35">
        <f>AVERAGE('Calculo CEs'!I12:R12)</f>
        <v/>
      </c>
      <c r="E12" s="35">
        <f>AVERAGE('Calculo CEs'!S12:Z12)</f>
        <v/>
      </c>
      <c r="F12" s="35">
        <f>('Calculo CEs'!AA12*0.02 + 'Calculo CEs'!AB12*0.02 + 'Calculo CEs'!AC12*0.04 + 'Calculo CEs'!AD12*0.04 + 'Calculo CEs'!AE12*0.04 + 'Calculo CEs'!AF12*0.04 + 'Calculo CEs'!AG12*0.04) / 0.24</f>
        <v/>
      </c>
      <c r="G12" s="35">
        <f>AVERAGE('Calculo CEs'!AH12:AO12)</f>
        <v/>
      </c>
      <c r="H12" s="35">
        <f>AVERAGE('Calculo CEs'!AP12:AU12)</f>
        <v/>
      </c>
      <c r="I12" s="52">
        <f>C12*0.12 + D12*0.20 + E12*0.16 + F12*0.24 + G12*0.16 + H12*0.12</f>
        <v/>
      </c>
    </row>
    <row r="13" ht="20" customHeight="1">
      <c r="A13" s="21" t="n">
        <v>8</v>
      </c>
      <c r="B13" s="38" t="inlineStr">
        <is>
          <t>Jiménez Ortiz, Pablo</t>
        </is>
      </c>
      <c r="C13" s="39">
        <f>AVERAGE('Calculo CEs'!C13:H13)</f>
        <v/>
      </c>
      <c r="D13" s="39">
        <f>AVERAGE('Calculo CEs'!I13:R13)</f>
        <v/>
      </c>
      <c r="E13" s="39">
        <f>AVERAGE('Calculo CEs'!S13:Z13)</f>
        <v/>
      </c>
      <c r="F13" s="39">
        <f>('Calculo CEs'!AA13*0.02 + 'Calculo CEs'!AB13*0.02 + 'Calculo CEs'!AC13*0.04 + 'Calculo CEs'!AD13*0.04 + 'Calculo CEs'!AE13*0.04 + 'Calculo CEs'!AF13*0.04 + 'Calculo CEs'!AG13*0.04) / 0.24</f>
        <v/>
      </c>
      <c r="G13" s="39">
        <f>AVERAGE('Calculo CEs'!AH13:AO13)</f>
        <v/>
      </c>
      <c r="H13" s="39">
        <f>AVERAGE('Calculo CEs'!AP13:AU13)</f>
        <v/>
      </c>
      <c r="I13" s="52">
        <f>C13*0.12 + D13*0.20 + E13*0.16 + F13*0.24 + G13*0.16 + H13*0.12</f>
        <v/>
      </c>
    </row>
    <row r="14" ht="20" customHeight="1">
      <c r="A14" s="13" t="n">
        <v>9</v>
      </c>
      <c r="B14" s="34" t="inlineStr">
        <is>
          <t>López Molina, Sara</t>
        </is>
      </c>
      <c r="C14" s="35">
        <f>AVERAGE('Calculo CEs'!C14:H14)</f>
        <v/>
      </c>
      <c r="D14" s="35">
        <f>AVERAGE('Calculo CEs'!I14:R14)</f>
        <v/>
      </c>
      <c r="E14" s="35">
        <f>AVERAGE('Calculo CEs'!S14:Z14)</f>
        <v/>
      </c>
      <c r="F14" s="35">
        <f>('Calculo CEs'!AA14*0.02 + 'Calculo CEs'!AB14*0.02 + 'Calculo CEs'!AC14*0.04 + 'Calculo CEs'!AD14*0.04 + 'Calculo CEs'!AE14*0.04 + 'Calculo CEs'!AF14*0.04 + 'Calculo CEs'!AG14*0.04) / 0.24</f>
        <v/>
      </c>
      <c r="G14" s="35">
        <f>AVERAGE('Calculo CEs'!AH14:AO14)</f>
        <v/>
      </c>
      <c r="H14" s="35">
        <f>AVERAGE('Calculo CEs'!AP14:AU14)</f>
        <v/>
      </c>
      <c r="I14" s="52">
        <f>C14*0.12 + D14*0.20 + E14*0.16 + F14*0.24 + G14*0.16 + H14*0.12</f>
        <v/>
      </c>
    </row>
    <row r="15" ht="20" customHeight="1">
      <c r="A15" s="21" t="n">
        <v>10</v>
      </c>
      <c r="B15" s="38" t="inlineStr">
        <is>
          <t>Martín Vega, Javier</t>
        </is>
      </c>
      <c r="C15" s="39">
        <f>AVERAGE('Calculo CEs'!C15:H15)</f>
        <v/>
      </c>
      <c r="D15" s="39">
        <f>AVERAGE('Calculo CEs'!I15:R15)</f>
        <v/>
      </c>
      <c r="E15" s="39">
        <f>AVERAGE('Calculo CEs'!S15:Z15)</f>
        <v/>
      </c>
      <c r="F15" s="39">
        <f>('Calculo CEs'!AA15*0.02 + 'Calculo CEs'!AB15*0.02 + 'Calculo CEs'!AC15*0.04 + 'Calculo CEs'!AD15*0.04 + 'Calculo CEs'!AE15*0.04 + 'Calculo CEs'!AF15*0.04 + 'Calculo CEs'!AG15*0.04) / 0.24</f>
        <v/>
      </c>
      <c r="G15" s="39">
        <f>AVERAGE('Calculo CEs'!AH15:AO15)</f>
        <v/>
      </c>
      <c r="H15" s="39">
        <f>AVERAGE('Calculo CEs'!AP15:AU15)</f>
        <v/>
      </c>
      <c r="I15" s="52">
        <f>C15*0.12 + D15*0.20 + E15*0.16 + F15*0.24 + G15*0.16 + H15*0.12</f>
        <v/>
      </c>
    </row>
    <row r="16" ht="20" customHeight="1">
      <c r="A16" s="13" t="n">
        <v>11</v>
      </c>
      <c r="B16" s="34" t="inlineStr">
        <is>
          <t>Navarro Gil, Ana</t>
        </is>
      </c>
      <c r="C16" s="35">
        <f>AVERAGE('Calculo CEs'!C16:H16)</f>
        <v/>
      </c>
      <c r="D16" s="35">
        <f>AVERAGE('Calculo CEs'!I16:R16)</f>
        <v/>
      </c>
      <c r="E16" s="35">
        <f>AVERAGE('Calculo CEs'!S16:Z16)</f>
        <v/>
      </c>
      <c r="F16" s="35">
        <f>('Calculo CEs'!AA16*0.02 + 'Calculo CEs'!AB16*0.02 + 'Calculo CEs'!AC16*0.04 + 'Calculo CEs'!AD16*0.04 + 'Calculo CEs'!AE16*0.04 + 'Calculo CEs'!AF16*0.04 + 'Calculo CEs'!AG16*0.04) / 0.24</f>
        <v/>
      </c>
      <c r="G16" s="35">
        <f>AVERAGE('Calculo CEs'!AH16:AO16)</f>
        <v/>
      </c>
      <c r="H16" s="35">
        <f>AVERAGE('Calculo CEs'!AP16:AU16)</f>
        <v/>
      </c>
      <c r="I16" s="52">
        <f>C16*0.12 + D16*0.20 + E16*0.16 + F16*0.24 + G16*0.16 + H16*0.12</f>
        <v/>
      </c>
    </row>
    <row r="17" ht="20" customHeight="1">
      <c r="A17" s="21" t="n">
        <v>12</v>
      </c>
      <c r="B17" s="38" t="inlineStr">
        <is>
          <t>Pérez Rubio, Álvaro</t>
        </is>
      </c>
      <c r="C17" s="39">
        <f>AVERAGE('Calculo CEs'!C17:H17)</f>
        <v/>
      </c>
      <c r="D17" s="39">
        <f>AVERAGE('Calculo CEs'!I17:R17)</f>
        <v/>
      </c>
      <c r="E17" s="39">
        <f>AVERAGE('Calculo CEs'!S17:Z17)</f>
        <v/>
      </c>
      <c r="F17" s="39">
        <f>('Calculo CEs'!AA17*0.02 + 'Calculo CEs'!AB17*0.02 + 'Calculo CEs'!AC17*0.04 + 'Calculo CEs'!AD17*0.04 + 'Calculo CEs'!AE17*0.04 + 'Calculo CEs'!AF17*0.04 + 'Calculo CEs'!AG17*0.04) / 0.24</f>
        <v/>
      </c>
      <c r="G17" s="39">
        <f>AVERAGE('Calculo CEs'!AH17:AO17)</f>
        <v/>
      </c>
      <c r="H17" s="39">
        <f>AVERAGE('Calculo CEs'!AP17:AU17)</f>
        <v/>
      </c>
      <c r="I17" s="52">
        <f>C17*0.12 + D17*0.20 + E17*0.16 + F17*0.24 + G17*0.16 + H17*0.12</f>
        <v/>
      </c>
    </row>
    <row r="18" ht="20" customHeight="1">
      <c r="A18" s="13" t="n">
        <v>13</v>
      </c>
      <c r="B18" s="34" t="inlineStr">
        <is>
          <t>Ramírez Soto, Carmen</t>
        </is>
      </c>
      <c r="C18" s="35">
        <f>AVERAGE('Calculo CEs'!C18:H18)</f>
        <v/>
      </c>
      <c r="D18" s="35">
        <f>AVERAGE('Calculo CEs'!I18:R18)</f>
        <v/>
      </c>
      <c r="E18" s="35">
        <f>AVERAGE('Calculo CEs'!S18:Z18)</f>
        <v/>
      </c>
      <c r="F18" s="35">
        <f>('Calculo CEs'!AA18*0.02 + 'Calculo CEs'!AB18*0.02 + 'Calculo CEs'!AC18*0.04 + 'Calculo CEs'!AD18*0.04 + 'Calculo CEs'!AE18*0.04 + 'Calculo CEs'!AF18*0.04 + 'Calculo CEs'!AG18*0.04) / 0.24</f>
        <v/>
      </c>
      <c r="G18" s="35">
        <f>AVERAGE('Calculo CEs'!AH18:AO18)</f>
        <v/>
      </c>
      <c r="H18" s="35">
        <f>AVERAGE('Calculo CEs'!AP18:AU18)</f>
        <v/>
      </c>
      <c r="I18" s="52">
        <f>C18*0.12 + D18*0.20 + E18*0.16 + F18*0.24 + G18*0.16 + H18*0.12</f>
        <v/>
      </c>
    </row>
    <row r="19" ht="20" customHeight="1">
      <c r="A19" s="21" t="n">
        <v>14</v>
      </c>
      <c r="B19" s="38" t="inlineStr">
        <is>
          <t>Sánchez Vidal, Daniel</t>
        </is>
      </c>
      <c r="C19" s="39">
        <f>AVERAGE('Calculo CEs'!C19:H19)</f>
        <v/>
      </c>
      <c r="D19" s="39">
        <f>AVERAGE('Calculo CEs'!I19:R19)</f>
        <v/>
      </c>
      <c r="E19" s="39">
        <f>AVERAGE('Calculo CEs'!S19:Z19)</f>
        <v/>
      </c>
      <c r="F19" s="39">
        <f>('Calculo CEs'!AA19*0.02 + 'Calculo CEs'!AB19*0.02 + 'Calculo CEs'!AC19*0.04 + 'Calculo CEs'!AD19*0.04 + 'Calculo CEs'!AE19*0.04 + 'Calculo CEs'!AF19*0.04 + 'Calculo CEs'!AG19*0.04) / 0.24</f>
        <v/>
      </c>
      <c r="G19" s="39">
        <f>AVERAGE('Calculo CEs'!AH19:AO19)</f>
        <v/>
      </c>
      <c r="H19" s="39">
        <f>AVERAGE('Calculo CEs'!AP19:AU19)</f>
        <v/>
      </c>
      <c r="I19" s="52">
        <f>C19*0.12 + D19*0.20 + E19*0.16 + F19*0.24 + G19*0.16 + H19*0.12</f>
        <v/>
      </c>
    </row>
    <row r="20" ht="20" customHeight="1">
      <c r="A20" s="13" t="n">
        <v>15</v>
      </c>
      <c r="B20" s="34" t="inlineStr">
        <is>
          <t>Torres Lozano, Irene</t>
        </is>
      </c>
      <c r="C20" s="35">
        <f>AVERAGE('Calculo CEs'!C20:H20)</f>
        <v/>
      </c>
      <c r="D20" s="35">
        <f>AVERAGE('Calculo CEs'!I20:R20)</f>
        <v/>
      </c>
      <c r="E20" s="35">
        <f>AVERAGE('Calculo CEs'!S20:Z20)</f>
        <v/>
      </c>
      <c r="F20" s="35">
        <f>('Calculo CEs'!AA20*0.02 + 'Calculo CEs'!AB20*0.02 + 'Calculo CEs'!AC20*0.04 + 'Calculo CEs'!AD20*0.04 + 'Calculo CEs'!AE20*0.04 + 'Calculo CEs'!AF20*0.04 + 'Calculo CEs'!AG20*0.04) / 0.24</f>
        <v/>
      </c>
      <c r="G20" s="35">
        <f>AVERAGE('Calculo CEs'!AH20:AO20)</f>
        <v/>
      </c>
      <c r="H20" s="35">
        <f>AVERAGE('Calculo CEs'!AP20:AU20)</f>
        <v/>
      </c>
      <c r="I20" s="52">
        <f>C20*0.12 + D20*0.20 + E20*0.16 + F20*0.24 + G20*0.16 + H20*0.12</f>
        <v/>
      </c>
    </row>
    <row r="21" ht="24" customHeight="1">
      <c r="A21" s="40" t="inlineStr">
        <is>
          <t>PROMEDIO DEL GRUPO</t>
        </is>
      </c>
      <c r="B21" s="41" t="n"/>
      <c r="C21" s="42">
        <f>AVERAGE(C6:C20)</f>
        <v/>
      </c>
      <c r="D21" s="42">
        <f>AVERAGE(D6:D20)</f>
        <v/>
      </c>
      <c r="E21" s="42">
        <f>AVERAGE(E6:E20)</f>
        <v/>
      </c>
      <c r="F21" s="42">
        <f>AVERAGE(F6:F20)</f>
        <v/>
      </c>
      <c r="G21" s="42">
        <f>AVERAGE(G6:G20)</f>
        <v/>
      </c>
      <c r="H21" s="42">
        <f>AVERAGE(H6:H20)</f>
        <v/>
      </c>
      <c r="I21" s="42">
        <f>AVERAGE(I6:I20)</f>
        <v/>
      </c>
    </row>
  </sheetData>
  <mergeCells count="3">
    <mergeCell ref="A1:I1"/>
    <mergeCell ref="A21:B21"/>
    <mergeCell ref="A2:I2"/>
  </mergeCells>
  <conditionalFormatting sqref="I6:I20">
    <cfRule type="cellIs" priority="1" operator="greaterThanOrEqual" dxfId="0" stopIfTrue="1">
      <formula>5.0</formula>
    </cfRule>
    <cfRule type="cellIs" priority="2" operator="lessThan" dxfId="1" stopIfTrue="1">
      <formula>5.0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4"/>
  <sheetViews>
    <sheetView showGridLines="1" workbookViewId="0">
      <selection activeCell="A1" sqref="A1"/>
    </sheetView>
  </sheetViews>
  <sheetFormatPr baseColWidth="8" defaultRowHeight="15"/>
  <cols>
    <col width="5" customWidth="1" min="1" max="1"/>
    <col width="24" customWidth="1" min="2" max="2"/>
    <col width="10" customWidth="1" min="3" max="3"/>
    <col width="10" customWidth="1" min="4" max="4"/>
    <col width="8" customWidth="1" min="5" max="5"/>
    <col width="8" customWidth="1" min="6" max="6"/>
    <col width="8" customWidth="1" min="7" max="7"/>
    <col width="8" customWidth="1" min="8" max="8"/>
    <col width="8" customWidth="1" min="9" max="9"/>
    <col width="8" customWidth="1" min="10" max="10"/>
    <col width="9" customWidth="1" min="11" max="11"/>
    <col width="16" customWidth="1" min="12" max="12"/>
    <col width="18" customWidth="1" min="13" max="13"/>
    <col width="22" customWidth="1" min="14" max="14"/>
  </cols>
  <sheetData>
    <row r="1" ht="36" customHeight="1">
      <c r="A1" s="1" t="inlineStr">
        <is>
          <t>PANEL DE CONTROL GENERAL — DISEÑO DE INTERFACES WEB (2º DAW)</t>
        </is>
      </c>
    </row>
    <row r="2" ht="20" customHeight="1">
      <c r="A2" s="2" t="inlineStr">
        <is>
          <t>Síntesis Integral: Trimestres, Resultados de Aprendizaje Oficiales (RA1-RA6), Calificación Ordinaria y Acceso a Dual (71 h)</t>
        </is>
      </c>
    </row>
    <row r="4">
      <c r="B4" s="53" t="inlineStr">
        <is>
          <t>ALUMNADO MATRICULADO</t>
        </is>
      </c>
      <c r="E4" s="53" t="inlineStr">
        <is>
          <t>APROBADOS EVAL. ORDINARIA</t>
        </is>
      </c>
      <c r="H4" s="53" t="inlineStr">
        <is>
          <t>SUSPENSOS EVAL. ORDINARIA</t>
        </is>
      </c>
      <c r="K4" s="53" t="inlineStr">
        <is>
          <t>NOTA MEDIA DEL GRUPO</t>
        </is>
      </c>
      <c r="M4" s="53" t="inlineStr">
        <is>
          <t>TASA DE ÉXITO ACADÉMICO</t>
        </is>
      </c>
    </row>
    <row r="5">
      <c r="B5" s="54">
        <f>COUNTA(A9:A23)</f>
        <v/>
      </c>
      <c r="E5" s="55">
        <f>COUNTIF(L9:L23, "&gt;=5")</f>
        <v/>
      </c>
      <c r="H5" s="56">
        <f>COUNTIF(L9:L23, "&lt;5")</f>
        <v/>
      </c>
      <c r="K5" s="57">
        <f>AVERAGE(L9:L23)</f>
        <v/>
      </c>
      <c r="M5" s="58">
        <f>E5/B5</f>
        <v/>
      </c>
    </row>
    <row r="6"/>
    <row r="8" ht="40" customHeight="1">
      <c r="A8" s="32" t="inlineStr">
        <is>
          <t>Nº</t>
        </is>
      </c>
      <c r="B8" s="32" t="inlineStr">
        <is>
          <t>Apellidos, Nombre</t>
        </is>
      </c>
      <c r="C8" s="9" t="inlineStr">
        <is>
          <t>1º Trim
(T1)</t>
        </is>
      </c>
      <c r="D8" s="9" t="inlineStr">
        <is>
          <t>2º Trim
(T2)</t>
        </is>
      </c>
      <c r="E8" s="8" t="inlineStr">
        <is>
          <t>RA1
(12%)</t>
        </is>
      </c>
      <c r="F8" s="8" t="inlineStr">
        <is>
          <t>RA2
(20%)</t>
        </is>
      </c>
      <c r="G8" s="8" t="inlineStr">
        <is>
          <t>RA3
(16%)</t>
        </is>
      </c>
      <c r="H8" s="8" t="inlineStr">
        <is>
          <t>RA4
(24%)</t>
        </is>
      </c>
      <c r="I8" s="8" t="inlineStr">
        <is>
          <t>RA5
(16%)</t>
        </is>
      </c>
      <c r="J8" s="8" t="inlineStr">
        <is>
          <t>RA6
(12%)</t>
        </is>
      </c>
      <c r="K8" s="48" t="inlineStr">
        <is>
          <t>Media
T1-T2</t>
        </is>
      </c>
      <c r="L8" s="48" t="inlineStr">
        <is>
          <t>Nota Final
Ordinaria (Marzo)</t>
        </is>
      </c>
      <c r="M8" s="33" t="inlineStr">
        <is>
          <t>Calificación Cualitativa</t>
        </is>
      </c>
      <c r="N8" s="33" t="inlineStr">
        <is>
          <t>Acceso a Dual en Empresa</t>
        </is>
      </c>
    </row>
    <row r="9" ht="20" customHeight="1">
      <c r="A9" s="21" t="n">
        <v>1</v>
      </c>
      <c r="B9" s="38" t="inlineStr">
        <is>
          <t>Álvarez Gómez, Laura</t>
        </is>
      </c>
      <c r="C9" s="59">
        <f>'Registro Notas'!S6</f>
        <v/>
      </c>
      <c r="D9" s="60">
        <f>'Registro Notas'!T6</f>
        <v/>
      </c>
      <c r="E9" s="39">
        <f>'Calculo RAs'!C6</f>
        <v/>
      </c>
      <c r="F9" s="39">
        <f>'Calculo RAs'!D6</f>
        <v/>
      </c>
      <c r="G9" s="39">
        <f>'Calculo RAs'!E6</f>
        <v/>
      </c>
      <c r="H9" s="39">
        <f>'Calculo RAs'!F6</f>
        <v/>
      </c>
      <c r="I9" s="39">
        <f>'Calculo RAs'!G6</f>
        <v/>
      </c>
      <c r="J9" s="39">
        <f>'Calculo RAs'!H6</f>
        <v/>
      </c>
      <c r="K9" s="39">
        <f>AVERAGE(C9, D9)</f>
        <v/>
      </c>
      <c r="L9" s="52">
        <f>'Calculo RAs'!I6</f>
        <v/>
      </c>
      <c r="M9" s="18">
        <f>IF(L9&gt;=9, "SOBRESALIENTE", IF(L9&gt;=7, "NOTABLE", IF(L9&gt;=6, "BIEN", IF(L9&gt;=5, "SUFICIENTE", "INSUFICIENTE"))))</f>
        <v/>
      </c>
      <c r="N9" s="18">
        <f>IF(L9&gt;=5, "AUTORIZADO (DUAL)", "PENDIENTE RECUP.")</f>
        <v/>
      </c>
    </row>
    <row r="10" ht="20" customHeight="1">
      <c r="A10" s="13" t="n">
        <v>2</v>
      </c>
      <c r="B10" s="34" t="inlineStr">
        <is>
          <t>Benítez Romero, Carlos</t>
        </is>
      </c>
      <c r="C10" s="36">
        <f>'Registro Notas'!S7</f>
        <v/>
      </c>
      <c r="D10" s="37">
        <f>'Registro Notas'!T7</f>
        <v/>
      </c>
      <c r="E10" s="35">
        <f>'Calculo RAs'!C7</f>
        <v/>
      </c>
      <c r="F10" s="35">
        <f>'Calculo RAs'!D7</f>
        <v/>
      </c>
      <c r="G10" s="35">
        <f>'Calculo RAs'!E7</f>
        <v/>
      </c>
      <c r="H10" s="35">
        <f>'Calculo RAs'!F7</f>
        <v/>
      </c>
      <c r="I10" s="35">
        <f>'Calculo RAs'!G7</f>
        <v/>
      </c>
      <c r="J10" s="35">
        <f>'Calculo RAs'!H7</f>
        <v/>
      </c>
      <c r="K10" s="35">
        <f>AVERAGE(C10, D10)</f>
        <v/>
      </c>
      <c r="L10" s="52">
        <f>'Calculo RAs'!I7</f>
        <v/>
      </c>
      <c r="M10" s="10">
        <f>IF(L10&gt;=9, "SOBRESALIENTE", IF(L10&gt;=7, "NOTABLE", IF(L10&gt;=6, "BIEN", IF(L10&gt;=5, "SUFICIENTE", "INSUFICIENTE"))))</f>
        <v/>
      </c>
      <c r="N10" s="10">
        <f>IF(L10&gt;=5, "AUTORIZADO (DUAL)", "PENDIENTE RECUP.")</f>
        <v/>
      </c>
    </row>
    <row r="11" ht="20" customHeight="1">
      <c r="A11" s="21" t="n">
        <v>3</v>
      </c>
      <c r="B11" s="38" t="inlineStr">
        <is>
          <t>Castillo Morales, Elena</t>
        </is>
      </c>
      <c r="C11" s="59">
        <f>'Registro Notas'!S8</f>
        <v/>
      </c>
      <c r="D11" s="60">
        <f>'Registro Notas'!T8</f>
        <v/>
      </c>
      <c r="E11" s="39">
        <f>'Calculo RAs'!C8</f>
        <v/>
      </c>
      <c r="F11" s="39">
        <f>'Calculo RAs'!D8</f>
        <v/>
      </c>
      <c r="G11" s="39">
        <f>'Calculo RAs'!E8</f>
        <v/>
      </c>
      <c r="H11" s="39">
        <f>'Calculo RAs'!F8</f>
        <v/>
      </c>
      <c r="I11" s="39">
        <f>'Calculo RAs'!G8</f>
        <v/>
      </c>
      <c r="J11" s="39">
        <f>'Calculo RAs'!H8</f>
        <v/>
      </c>
      <c r="K11" s="39">
        <f>AVERAGE(C11, D11)</f>
        <v/>
      </c>
      <c r="L11" s="52">
        <f>'Calculo RAs'!I8</f>
        <v/>
      </c>
      <c r="M11" s="18">
        <f>IF(L11&gt;=9, "SOBRESALIENTE", IF(L11&gt;=7, "NOTABLE", IF(L11&gt;=6, "BIEN", IF(L11&gt;=5, "SUFICIENTE", "INSUFICIENTE"))))</f>
        <v/>
      </c>
      <c r="N11" s="18">
        <f>IF(L11&gt;=5, "AUTORIZADO (DUAL)", "PENDIENTE RECUP.")</f>
        <v/>
      </c>
    </row>
    <row r="12" ht="20" customHeight="1">
      <c r="A12" s="13" t="n">
        <v>4</v>
      </c>
      <c r="B12" s="34" t="inlineStr">
        <is>
          <t>Delgado Santos, Alejandro</t>
        </is>
      </c>
      <c r="C12" s="36">
        <f>'Registro Notas'!S9</f>
        <v/>
      </c>
      <c r="D12" s="37">
        <f>'Registro Notas'!T9</f>
        <v/>
      </c>
      <c r="E12" s="35">
        <f>'Calculo RAs'!C9</f>
        <v/>
      </c>
      <c r="F12" s="35">
        <f>'Calculo RAs'!D9</f>
        <v/>
      </c>
      <c r="G12" s="35">
        <f>'Calculo RAs'!E9</f>
        <v/>
      </c>
      <c r="H12" s="35">
        <f>'Calculo RAs'!F9</f>
        <v/>
      </c>
      <c r="I12" s="35">
        <f>'Calculo RAs'!G9</f>
        <v/>
      </c>
      <c r="J12" s="35">
        <f>'Calculo RAs'!H9</f>
        <v/>
      </c>
      <c r="K12" s="35">
        <f>AVERAGE(C12, D12)</f>
        <v/>
      </c>
      <c r="L12" s="52">
        <f>'Calculo RAs'!I9</f>
        <v/>
      </c>
      <c r="M12" s="10">
        <f>IF(L12&gt;=9, "SOBRESALIENTE", IF(L12&gt;=7, "NOTABLE", IF(L12&gt;=6, "BIEN", IF(L12&gt;=5, "SUFICIENTE", "INSUFICIENTE"))))</f>
        <v/>
      </c>
      <c r="N12" s="10">
        <f>IF(L12&gt;=5, "AUTORIZADO (DUAL)", "PENDIENTE RECUP.")</f>
        <v/>
      </c>
    </row>
    <row r="13" ht="20" customHeight="1">
      <c r="A13" s="21" t="n">
        <v>5</v>
      </c>
      <c r="B13" s="38" t="inlineStr">
        <is>
          <t>Fernández Navarro, Lucía</t>
        </is>
      </c>
      <c r="C13" s="59">
        <f>'Registro Notas'!S10</f>
        <v/>
      </c>
      <c r="D13" s="60">
        <f>'Registro Notas'!T10</f>
        <v/>
      </c>
      <c r="E13" s="39">
        <f>'Calculo RAs'!C10</f>
        <v/>
      </c>
      <c r="F13" s="39">
        <f>'Calculo RAs'!D10</f>
        <v/>
      </c>
      <c r="G13" s="39">
        <f>'Calculo RAs'!E10</f>
        <v/>
      </c>
      <c r="H13" s="39">
        <f>'Calculo RAs'!F10</f>
        <v/>
      </c>
      <c r="I13" s="39">
        <f>'Calculo RAs'!G10</f>
        <v/>
      </c>
      <c r="J13" s="39">
        <f>'Calculo RAs'!H10</f>
        <v/>
      </c>
      <c r="K13" s="39">
        <f>AVERAGE(C13, D13)</f>
        <v/>
      </c>
      <c r="L13" s="52">
        <f>'Calculo RAs'!I10</f>
        <v/>
      </c>
      <c r="M13" s="18">
        <f>IF(L13&gt;=9, "SOBRESALIENTE", IF(L13&gt;=7, "NOTABLE", IF(L13&gt;=6, "BIEN", IF(L13&gt;=5, "SUFICIENTE", "INSUFICIENTE"))))</f>
        <v/>
      </c>
      <c r="N13" s="18">
        <f>IF(L13&gt;=5, "AUTORIZADO (DUAL)", "PENDIENTE RECUP.")</f>
        <v/>
      </c>
    </row>
    <row r="14" ht="20" customHeight="1">
      <c r="A14" s="13" t="n">
        <v>6</v>
      </c>
      <c r="B14" s="34" t="inlineStr">
        <is>
          <t>García Serrano, David</t>
        </is>
      </c>
      <c r="C14" s="36">
        <f>'Registro Notas'!S11</f>
        <v/>
      </c>
      <c r="D14" s="37">
        <f>'Registro Notas'!T11</f>
        <v/>
      </c>
      <c r="E14" s="35">
        <f>'Calculo RAs'!C11</f>
        <v/>
      </c>
      <c r="F14" s="35">
        <f>'Calculo RAs'!D11</f>
        <v/>
      </c>
      <c r="G14" s="35">
        <f>'Calculo RAs'!E11</f>
        <v/>
      </c>
      <c r="H14" s="35">
        <f>'Calculo RAs'!F11</f>
        <v/>
      </c>
      <c r="I14" s="35">
        <f>'Calculo RAs'!G11</f>
        <v/>
      </c>
      <c r="J14" s="35">
        <f>'Calculo RAs'!H11</f>
        <v/>
      </c>
      <c r="K14" s="35">
        <f>AVERAGE(C14, D14)</f>
        <v/>
      </c>
      <c r="L14" s="52">
        <f>'Calculo RAs'!I11</f>
        <v/>
      </c>
      <c r="M14" s="10">
        <f>IF(L14&gt;=9, "SOBRESALIENTE", IF(L14&gt;=7, "NOTABLE", IF(L14&gt;=6, "BIEN", IF(L14&gt;=5, "SUFICIENTE", "INSUFICIENTE"))))</f>
        <v/>
      </c>
      <c r="N14" s="10">
        <f>IF(L14&gt;=5, "AUTORIZADO (DUAL)", "PENDIENTE RECUP.")</f>
        <v/>
      </c>
    </row>
    <row r="15" ht="20" customHeight="1">
      <c r="A15" s="21" t="n">
        <v>7</v>
      </c>
      <c r="B15" s="38" t="inlineStr">
        <is>
          <t>Herrera Cruz, Marta</t>
        </is>
      </c>
      <c r="C15" s="59">
        <f>'Registro Notas'!S12</f>
        <v/>
      </c>
      <c r="D15" s="60">
        <f>'Registro Notas'!T12</f>
        <v/>
      </c>
      <c r="E15" s="39">
        <f>'Calculo RAs'!C12</f>
        <v/>
      </c>
      <c r="F15" s="39">
        <f>'Calculo RAs'!D12</f>
        <v/>
      </c>
      <c r="G15" s="39">
        <f>'Calculo RAs'!E12</f>
        <v/>
      </c>
      <c r="H15" s="39">
        <f>'Calculo RAs'!F12</f>
        <v/>
      </c>
      <c r="I15" s="39">
        <f>'Calculo RAs'!G12</f>
        <v/>
      </c>
      <c r="J15" s="39">
        <f>'Calculo RAs'!H12</f>
        <v/>
      </c>
      <c r="K15" s="39">
        <f>AVERAGE(C15, D15)</f>
        <v/>
      </c>
      <c r="L15" s="52">
        <f>'Calculo RAs'!I12</f>
        <v/>
      </c>
      <c r="M15" s="18">
        <f>IF(L15&gt;=9, "SOBRESALIENTE", IF(L15&gt;=7, "NOTABLE", IF(L15&gt;=6, "BIEN", IF(L15&gt;=5, "SUFICIENTE", "INSUFICIENTE"))))</f>
        <v/>
      </c>
      <c r="N15" s="18">
        <f>IF(L15&gt;=5, "AUTORIZADO (DUAL)", "PENDIENTE RECUP.")</f>
        <v/>
      </c>
    </row>
    <row r="16" ht="20" customHeight="1">
      <c r="A16" s="13" t="n">
        <v>8</v>
      </c>
      <c r="B16" s="34" t="inlineStr">
        <is>
          <t>Jiménez Ortiz, Pablo</t>
        </is>
      </c>
      <c r="C16" s="36">
        <f>'Registro Notas'!S13</f>
        <v/>
      </c>
      <c r="D16" s="37">
        <f>'Registro Notas'!T13</f>
        <v/>
      </c>
      <c r="E16" s="35">
        <f>'Calculo RAs'!C13</f>
        <v/>
      </c>
      <c r="F16" s="35">
        <f>'Calculo RAs'!D13</f>
        <v/>
      </c>
      <c r="G16" s="35">
        <f>'Calculo RAs'!E13</f>
        <v/>
      </c>
      <c r="H16" s="35">
        <f>'Calculo RAs'!F13</f>
        <v/>
      </c>
      <c r="I16" s="35">
        <f>'Calculo RAs'!G13</f>
        <v/>
      </c>
      <c r="J16" s="35">
        <f>'Calculo RAs'!H13</f>
        <v/>
      </c>
      <c r="K16" s="35">
        <f>AVERAGE(C16, D16)</f>
        <v/>
      </c>
      <c r="L16" s="52">
        <f>'Calculo RAs'!I13</f>
        <v/>
      </c>
      <c r="M16" s="10">
        <f>IF(L16&gt;=9, "SOBRESALIENTE", IF(L16&gt;=7, "NOTABLE", IF(L16&gt;=6, "BIEN", IF(L16&gt;=5, "SUFICIENTE", "INSUFICIENTE"))))</f>
        <v/>
      </c>
      <c r="N16" s="10">
        <f>IF(L16&gt;=5, "AUTORIZADO (DUAL)", "PENDIENTE RECUP.")</f>
        <v/>
      </c>
    </row>
    <row r="17" ht="20" customHeight="1">
      <c r="A17" s="21" t="n">
        <v>9</v>
      </c>
      <c r="B17" s="38" t="inlineStr">
        <is>
          <t>López Molina, Sara</t>
        </is>
      </c>
      <c r="C17" s="59">
        <f>'Registro Notas'!S14</f>
        <v/>
      </c>
      <c r="D17" s="60">
        <f>'Registro Notas'!T14</f>
        <v/>
      </c>
      <c r="E17" s="39">
        <f>'Calculo RAs'!C14</f>
        <v/>
      </c>
      <c r="F17" s="39">
        <f>'Calculo RAs'!D14</f>
        <v/>
      </c>
      <c r="G17" s="39">
        <f>'Calculo RAs'!E14</f>
        <v/>
      </c>
      <c r="H17" s="39">
        <f>'Calculo RAs'!F14</f>
        <v/>
      </c>
      <c r="I17" s="39">
        <f>'Calculo RAs'!G14</f>
        <v/>
      </c>
      <c r="J17" s="39">
        <f>'Calculo RAs'!H14</f>
        <v/>
      </c>
      <c r="K17" s="39">
        <f>AVERAGE(C17, D17)</f>
        <v/>
      </c>
      <c r="L17" s="52">
        <f>'Calculo RAs'!I14</f>
        <v/>
      </c>
      <c r="M17" s="18">
        <f>IF(L17&gt;=9, "SOBRESALIENTE", IF(L17&gt;=7, "NOTABLE", IF(L17&gt;=6, "BIEN", IF(L17&gt;=5, "SUFICIENTE", "INSUFICIENTE"))))</f>
        <v/>
      </c>
      <c r="N17" s="18">
        <f>IF(L17&gt;=5, "AUTORIZADO (DUAL)", "PENDIENTE RECUP.")</f>
        <v/>
      </c>
    </row>
    <row r="18" ht="20" customHeight="1">
      <c r="A18" s="13" t="n">
        <v>10</v>
      </c>
      <c r="B18" s="34" t="inlineStr">
        <is>
          <t>Martín Vega, Javier</t>
        </is>
      </c>
      <c r="C18" s="36">
        <f>'Registro Notas'!S15</f>
        <v/>
      </c>
      <c r="D18" s="37">
        <f>'Registro Notas'!T15</f>
        <v/>
      </c>
      <c r="E18" s="35">
        <f>'Calculo RAs'!C15</f>
        <v/>
      </c>
      <c r="F18" s="35">
        <f>'Calculo RAs'!D15</f>
        <v/>
      </c>
      <c r="G18" s="35">
        <f>'Calculo RAs'!E15</f>
        <v/>
      </c>
      <c r="H18" s="35">
        <f>'Calculo RAs'!F15</f>
        <v/>
      </c>
      <c r="I18" s="35">
        <f>'Calculo RAs'!G15</f>
        <v/>
      </c>
      <c r="J18" s="35">
        <f>'Calculo RAs'!H15</f>
        <v/>
      </c>
      <c r="K18" s="35">
        <f>AVERAGE(C18, D18)</f>
        <v/>
      </c>
      <c r="L18" s="52">
        <f>'Calculo RAs'!I15</f>
        <v/>
      </c>
      <c r="M18" s="10">
        <f>IF(L18&gt;=9, "SOBRESALIENTE", IF(L18&gt;=7, "NOTABLE", IF(L18&gt;=6, "BIEN", IF(L18&gt;=5, "SUFICIENTE", "INSUFICIENTE"))))</f>
        <v/>
      </c>
      <c r="N18" s="10">
        <f>IF(L18&gt;=5, "AUTORIZADO (DUAL)", "PENDIENTE RECUP.")</f>
        <v/>
      </c>
    </row>
    <row r="19" ht="20" customHeight="1">
      <c r="A19" s="21" t="n">
        <v>11</v>
      </c>
      <c r="B19" s="38" t="inlineStr">
        <is>
          <t>Navarro Gil, Ana</t>
        </is>
      </c>
      <c r="C19" s="59">
        <f>'Registro Notas'!S16</f>
        <v/>
      </c>
      <c r="D19" s="60">
        <f>'Registro Notas'!T16</f>
        <v/>
      </c>
      <c r="E19" s="39">
        <f>'Calculo RAs'!C16</f>
        <v/>
      </c>
      <c r="F19" s="39">
        <f>'Calculo RAs'!D16</f>
        <v/>
      </c>
      <c r="G19" s="39">
        <f>'Calculo RAs'!E16</f>
        <v/>
      </c>
      <c r="H19" s="39">
        <f>'Calculo RAs'!F16</f>
        <v/>
      </c>
      <c r="I19" s="39">
        <f>'Calculo RAs'!G16</f>
        <v/>
      </c>
      <c r="J19" s="39">
        <f>'Calculo RAs'!H16</f>
        <v/>
      </c>
      <c r="K19" s="39">
        <f>AVERAGE(C19, D19)</f>
        <v/>
      </c>
      <c r="L19" s="52">
        <f>'Calculo RAs'!I16</f>
        <v/>
      </c>
      <c r="M19" s="18">
        <f>IF(L19&gt;=9, "SOBRESALIENTE", IF(L19&gt;=7, "NOTABLE", IF(L19&gt;=6, "BIEN", IF(L19&gt;=5, "SUFICIENTE", "INSUFICIENTE"))))</f>
        <v/>
      </c>
      <c r="N19" s="18">
        <f>IF(L19&gt;=5, "AUTORIZADO (DUAL)", "PENDIENTE RECUP.")</f>
        <v/>
      </c>
    </row>
    <row r="20" ht="20" customHeight="1">
      <c r="A20" s="13" t="n">
        <v>12</v>
      </c>
      <c r="B20" s="34" t="inlineStr">
        <is>
          <t>Pérez Rubio, Álvaro</t>
        </is>
      </c>
      <c r="C20" s="36">
        <f>'Registro Notas'!S17</f>
        <v/>
      </c>
      <c r="D20" s="37">
        <f>'Registro Notas'!T17</f>
        <v/>
      </c>
      <c r="E20" s="35">
        <f>'Calculo RAs'!C17</f>
        <v/>
      </c>
      <c r="F20" s="35">
        <f>'Calculo RAs'!D17</f>
        <v/>
      </c>
      <c r="G20" s="35">
        <f>'Calculo RAs'!E17</f>
        <v/>
      </c>
      <c r="H20" s="35">
        <f>'Calculo RAs'!F17</f>
        <v/>
      </c>
      <c r="I20" s="35">
        <f>'Calculo RAs'!G17</f>
        <v/>
      </c>
      <c r="J20" s="35">
        <f>'Calculo RAs'!H17</f>
        <v/>
      </c>
      <c r="K20" s="35">
        <f>AVERAGE(C20, D20)</f>
        <v/>
      </c>
      <c r="L20" s="52">
        <f>'Calculo RAs'!I17</f>
        <v/>
      </c>
      <c r="M20" s="10">
        <f>IF(L20&gt;=9, "SOBRESALIENTE", IF(L20&gt;=7, "NOTABLE", IF(L20&gt;=6, "BIEN", IF(L20&gt;=5, "SUFICIENTE", "INSUFICIENTE"))))</f>
        <v/>
      </c>
      <c r="N20" s="10">
        <f>IF(L20&gt;=5, "AUTORIZADO (DUAL)", "PENDIENTE RECUP.")</f>
        <v/>
      </c>
    </row>
    <row r="21" ht="20" customHeight="1">
      <c r="A21" s="21" t="n">
        <v>13</v>
      </c>
      <c r="B21" s="38" t="inlineStr">
        <is>
          <t>Ramírez Soto, Carmen</t>
        </is>
      </c>
      <c r="C21" s="59">
        <f>'Registro Notas'!S18</f>
        <v/>
      </c>
      <c r="D21" s="60">
        <f>'Registro Notas'!T18</f>
        <v/>
      </c>
      <c r="E21" s="39">
        <f>'Calculo RAs'!C18</f>
        <v/>
      </c>
      <c r="F21" s="39">
        <f>'Calculo RAs'!D18</f>
        <v/>
      </c>
      <c r="G21" s="39">
        <f>'Calculo RAs'!E18</f>
        <v/>
      </c>
      <c r="H21" s="39">
        <f>'Calculo RAs'!F18</f>
        <v/>
      </c>
      <c r="I21" s="39">
        <f>'Calculo RAs'!G18</f>
        <v/>
      </c>
      <c r="J21" s="39">
        <f>'Calculo RAs'!H18</f>
        <v/>
      </c>
      <c r="K21" s="39">
        <f>AVERAGE(C21, D21)</f>
        <v/>
      </c>
      <c r="L21" s="52">
        <f>'Calculo RAs'!I18</f>
        <v/>
      </c>
      <c r="M21" s="18">
        <f>IF(L21&gt;=9, "SOBRESALIENTE", IF(L21&gt;=7, "NOTABLE", IF(L21&gt;=6, "BIEN", IF(L21&gt;=5, "SUFICIENTE", "INSUFICIENTE"))))</f>
        <v/>
      </c>
      <c r="N21" s="18">
        <f>IF(L21&gt;=5, "AUTORIZADO (DUAL)", "PENDIENTE RECUP.")</f>
        <v/>
      </c>
    </row>
    <row r="22" ht="20" customHeight="1">
      <c r="A22" s="13" t="n">
        <v>14</v>
      </c>
      <c r="B22" s="34" t="inlineStr">
        <is>
          <t>Sánchez Vidal, Daniel</t>
        </is>
      </c>
      <c r="C22" s="36">
        <f>'Registro Notas'!S19</f>
        <v/>
      </c>
      <c r="D22" s="37">
        <f>'Registro Notas'!T19</f>
        <v/>
      </c>
      <c r="E22" s="35">
        <f>'Calculo RAs'!C19</f>
        <v/>
      </c>
      <c r="F22" s="35">
        <f>'Calculo RAs'!D19</f>
        <v/>
      </c>
      <c r="G22" s="35">
        <f>'Calculo RAs'!E19</f>
        <v/>
      </c>
      <c r="H22" s="35">
        <f>'Calculo RAs'!F19</f>
        <v/>
      </c>
      <c r="I22" s="35">
        <f>'Calculo RAs'!G19</f>
        <v/>
      </c>
      <c r="J22" s="35">
        <f>'Calculo RAs'!H19</f>
        <v/>
      </c>
      <c r="K22" s="35">
        <f>AVERAGE(C22, D22)</f>
        <v/>
      </c>
      <c r="L22" s="52">
        <f>'Calculo RAs'!I19</f>
        <v/>
      </c>
      <c r="M22" s="10">
        <f>IF(L22&gt;=9, "SOBRESALIENTE", IF(L22&gt;=7, "NOTABLE", IF(L22&gt;=6, "BIEN", IF(L22&gt;=5, "SUFICIENTE", "INSUFICIENTE"))))</f>
        <v/>
      </c>
      <c r="N22" s="10">
        <f>IF(L22&gt;=5, "AUTORIZADO (DUAL)", "PENDIENTE RECUP.")</f>
        <v/>
      </c>
    </row>
    <row r="23" ht="20" customHeight="1">
      <c r="A23" s="21" t="n">
        <v>15</v>
      </c>
      <c r="B23" s="38" t="inlineStr">
        <is>
          <t>Torres Lozano, Irene</t>
        </is>
      </c>
      <c r="C23" s="59">
        <f>'Registro Notas'!S20</f>
        <v/>
      </c>
      <c r="D23" s="60">
        <f>'Registro Notas'!T20</f>
        <v/>
      </c>
      <c r="E23" s="39">
        <f>'Calculo RAs'!C20</f>
        <v/>
      </c>
      <c r="F23" s="39">
        <f>'Calculo RAs'!D20</f>
        <v/>
      </c>
      <c r="G23" s="39">
        <f>'Calculo RAs'!E20</f>
        <v/>
      </c>
      <c r="H23" s="39">
        <f>'Calculo RAs'!F20</f>
        <v/>
      </c>
      <c r="I23" s="39">
        <f>'Calculo RAs'!G20</f>
        <v/>
      </c>
      <c r="J23" s="39">
        <f>'Calculo RAs'!H20</f>
        <v/>
      </c>
      <c r="K23" s="39">
        <f>AVERAGE(C23, D23)</f>
        <v/>
      </c>
      <c r="L23" s="52">
        <f>'Calculo RAs'!I20</f>
        <v/>
      </c>
      <c r="M23" s="18">
        <f>IF(L23&gt;=9, "SOBRESALIENTE", IF(L23&gt;=7, "NOTABLE", IF(L23&gt;=6, "BIEN", IF(L23&gt;=5, "SUFICIENTE", "INSUFICIENTE"))))</f>
        <v/>
      </c>
      <c r="N23" s="18">
        <f>IF(L23&gt;=5, "AUTORIZADO (DUAL)", "PENDIENTE RECUP.")</f>
        <v/>
      </c>
    </row>
    <row r="24" ht="24" customHeight="1">
      <c r="A24" s="40" t="inlineStr">
        <is>
          <t>PROMEDIO DEL GRUPO</t>
        </is>
      </c>
      <c r="B24" s="41" t="n"/>
      <c r="C24" s="42">
        <f>AVERAGE(C9:C23)</f>
        <v/>
      </c>
      <c r="D24" s="42">
        <f>AVERAGE(D9:D23)</f>
        <v/>
      </c>
      <c r="E24" s="42">
        <f>AVERAGE(E9:E23)</f>
        <v/>
      </c>
      <c r="F24" s="42">
        <f>AVERAGE(F9:F23)</f>
        <v/>
      </c>
      <c r="G24" s="42">
        <f>AVERAGE(G9:G23)</f>
        <v/>
      </c>
      <c r="H24" s="42">
        <f>AVERAGE(H9:H23)</f>
        <v/>
      </c>
      <c r="I24" s="42">
        <f>AVERAGE(I9:I23)</f>
        <v/>
      </c>
      <c r="J24" s="42">
        <f>AVERAGE(J9:J23)</f>
        <v/>
      </c>
      <c r="K24" s="42">
        <f>AVERAGE(K9:K23)</f>
        <v/>
      </c>
      <c r="L24" s="42">
        <f>AVERAGE(L9:L23)</f>
        <v/>
      </c>
      <c r="M24" s="61" t="inlineStr"/>
      <c r="N24" s="61" t="inlineStr"/>
    </row>
  </sheetData>
  <mergeCells count="13">
    <mergeCell ref="E4:F4"/>
    <mergeCell ref="A24:B24"/>
    <mergeCell ref="M5:N6"/>
    <mergeCell ref="A2:N2"/>
    <mergeCell ref="B5:C6"/>
    <mergeCell ref="E5:F6"/>
    <mergeCell ref="K5:L6"/>
    <mergeCell ref="H4:I4"/>
    <mergeCell ref="H5:I6"/>
    <mergeCell ref="K4:L4"/>
    <mergeCell ref="M4:N4"/>
    <mergeCell ref="B4:C4"/>
    <mergeCell ref="A1:N1"/>
  </mergeCells>
  <conditionalFormatting sqref="L9:L23">
    <cfRule type="cellIs" priority="1" operator="greaterThanOrEqual" dxfId="0" stopIfTrue="1">
      <formula>5.0</formula>
    </cfRule>
    <cfRule type="cellIs" priority="2" operator="lessThan" dxfId="1" stopIfTrue="1">
      <formula>5.0</formula>
    </cfRule>
  </conditionalFormatting>
  <conditionalFormatting sqref="N9:N23">
    <cfRule type="cellIs" priority="3" operator="equal" dxfId="0" stopIfTrue="1">
      <formula>"AUTORIZADO (DUAL)"</formula>
    </cfRule>
    <cfRule type="cellIs" priority="4" operator="equal" dxfId="1" stopIfTrue="1">
      <formula>"PENDIENTE RECUP."</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
  <sheetViews>
    <sheetView showGridLines="1" workbookViewId="0">
      <selection activeCell="A1" sqref="A1"/>
    </sheetView>
  </sheetViews>
  <sheetFormatPr baseColWidth="8" defaultRowHeight="15"/>
  <cols>
    <col width="5" customWidth="1" min="1" max="1"/>
    <col width="25" customWidth="1" min="2" max="2"/>
    <col width="15" customWidth="1" min="3" max="3"/>
    <col width="22" customWidth="1" min="4" max="4"/>
    <col width="20" customWidth="1" min="5" max="5"/>
    <col width="14" customWidth="1" min="6" max="6"/>
    <col width="18" customWidth="1" min="7" max="7"/>
    <col width="18" customWidth="1" min="8" max="8"/>
    <col width="20" customWidth="1" min="9" max="9"/>
    <col width="20" customWidth="1" min="10" max="10"/>
  </cols>
  <sheetData>
    <row r="1" ht="36" customHeight="1">
      <c r="A1" s="1" t="inlineStr">
        <is>
          <t>FASE DE FORMACIÓN DUAL EN EMPRESA (T3 - 71 h) Y CONVOCATORIA EXTRAORDINARIA</t>
        </is>
      </c>
    </row>
    <row r="2" ht="20" customHeight="1">
      <c r="A2" s="2" t="inlineStr">
        <is>
          <t>Orden de 26 de septiembre de 2025 (Dual Andalucía) | Periodo en Empresa: Marzo a Junio 2026 (71 h vinculadas a DIW)</t>
        </is>
      </c>
    </row>
    <row r="4" ht="38" customHeight="1">
      <c r="A4" s="32" t="inlineStr">
        <is>
          <t>Nº</t>
        </is>
      </c>
      <c r="B4" s="32" t="inlineStr">
        <is>
          <t>Apellidos, Nombre</t>
        </is>
      </c>
      <c r="C4" s="9" t="inlineStr">
        <is>
          <t>Nota Ordinaria
(Marzo)</t>
        </is>
      </c>
      <c r="D4" s="9" t="inlineStr">
        <is>
          <t>Empresa Asignada</t>
        </is>
      </c>
      <c r="E4" s="9" t="inlineStr">
        <is>
          <t>Tutor/a Laboral</t>
        </is>
      </c>
      <c r="F4" s="9" t="inlineStr">
        <is>
          <t>Horas Dual
(Módulo 71 h)</t>
        </is>
      </c>
      <c r="G4" s="9" t="inlineStr">
        <is>
          <t>Valoración Empresa
(Apto / No Apto)</t>
        </is>
      </c>
      <c r="H4" s="33" t="inlineStr">
        <is>
          <t>RAs Pendientes
(Extraordinaria)</t>
        </is>
      </c>
      <c r="I4" s="33" t="inlineStr">
        <is>
          <t>Nota Convocatoria
Extraordinaria (Junio)</t>
        </is>
      </c>
      <c r="J4" s="33" t="inlineStr">
        <is>
          <t>Calificación Definitiva
Curso Académico</t>
        </is>
      </c>
    </row>
    <row r="5" ht="20" customHeight="1">
      <c r="A5" s="21" t="n">
        <v>1</v>
      </c>
      <c r="B5" s="38" t="inlineStr">
        <is>
          <t>Álvarez Gómez, Laura</t>
        </is>
      </c>
      <c r="C5" s="50">
        <f>'Panel de Control'!L9</f>
        <v/>
      </c>
      <c r="D5" s="20" t="inlineStr">
        <is>
          <t>Frontend Solutions Andalucía</t>
        </is>
      </c>
      <c r="E5" s="20" t="inlineStr">
        <is>
          <t>Dña. Silvia Valenzuela</t>
        </is>
      </c>
      <c r="F5" s="21" t="n">
        <v>71</v>
      </c>
      <c r="G5" s="18">
        <f>IF(C5&gt;=5, "APTO", "PENDIENTE")</f>
        <v/>
      </c>
      <c r="H5" s="21">
        <f>IF(C5&lt;5, "RA2, RA4", "Ninguno")</f>
        <v/>
      </c>
      <c r="I5" s="39" t="inlineStr"/>
      <c r="J5" s="62">
        <f>IF(ISBLANK(I5), C5, MAX(C5, I5))</f>
        <v/>
      </c>
    </row>
    <row r="6" ht="20" customHeight="1">
      <c r="A6" s="13" t="n">
        <v>2</v>
      </c>
      <c r="B6" s="34" t="inlineStr">
        <is>
          <t>Benítez Romero, Carlos</t>
        </is>
      </c>
      <c r="C6" s="50">
        <f>'Panel de Control'!L10</f>
        <v/>
      </c>
      <c r="D6" s="12" t="inlineStr">
        <is>
          <t>WebCraft Studio S.L.</t>
        </is>
      </c>
      <c r="E6" s="12" t="inlineStr">
        <is>
          <t>D. Alejandro Montes</t>
        </is>
      </c>
      <c r="F6" s="13" t="n">
        <v>71</v>
      </c>
      <c r="G6" s="10">
        <f>IF(C6&gt;=5, "APTO", "PENDIENTE")</f>
        <v/>
      </c>
      <c r="H6" s="13">
        <f>IF(C6&lt;5, "RA2, RA4", "Ninguno")</f>
        <v/>
      </c>
      <c r="I6" s="35" t="inlineStr"/>
      <c r="J6" s="62">
        <f>IF(ISBLANK(I6), C6, MAX(C6, I6))</f>
        <v/>
      </c>
    </row>
    <row r="7" ht="20" customHeight="1">
      <c r="A7" s="21" t="n">
        <v>3</v>
      </c>
      <c r="B7" s="38" t="inlineStr">
        <is>
          <t>Castillo Morales, Elena</t>
        </is>
      </c>
      <c r="C7" s="50">
        <f>'Panel de Control'!L11</f>
        <v/>
      </c>
      <c r="D7" s="20" t="inlineStr">
        <is>
          <t>Frontend Solutions Andalucía</t>
        </is>
      </c>
      <c r="E7" s="20" t="inlineStr">
        <is>
          <t>Dña. Silvia Valenzuela</t>
        </is>
      </c>
      <c r="F7" s="21" t="n">
        <v>71</v>
      </c>
      <c r="G7" s="18">
        <f>IF(C7&gt;=5, "APTO", "PENDIENTE")</f>
        <v/>
      </c>
      <c r="H7" s="21">
        <f>IF(C7&lt;5, "RA2, RA4", "Ninguno")</f>
        <v/>
      </c>
      <c r="I7" s="39" t="inlineStr"/>
      <c r="J7" s="62">
        <f>IF(ISBLANK(I7), C7, MAX(C7, I7))</f>
        <v/>
      </c>
    </row>
    <row r="8" ht="20" customHeight="1">
      <c r="A8" s="13" t="n">
        <v>4</v>
      </c>
      <c r="B8" s="34" t="inlineStr">
        <is>
          <t>Delgado Santos, Alejandro</t>
        </is>
      </c>
      <c r="C8" s="50">
        <f>'Panel de Control'!L12</f>
        <v/>
      </c>
      <c r="D8" s="12" t="inlineStr">
        <is>
          <t>WebCraft Studio S.L.</t>
        </is>
      </c>
      <c r="E8" s="12" t="inlineStr">
        <is>
          <t>D. Alejandro Montes</t>
        </is>
      </c>
      <c r="F8" s="13" t="n">
        <v>71</v>
      </c>
      <c r="G8" s="10">
        <f>IF(C8&gt;=5, "APTO", "PENDIENTE")</f>
        <v/>
      </c>
      <c r="H8" s="13">
        <f>IF(C8&lt;5, "RA2, RA4", "Ninguno")</f>
        <v/>
      </c>
      <c r="I8" s="35" t="inlineStr"/>
      <c r="J8" s="62">
        <f>IF(ISBLANK(I8), C8, MAX(C8, I8))</f>
        <v/>
      </c>
    </row>
    <row r="9" ht="20" customHeight="1">
      <c r="A9" s="21" t="n">
        <v>5</v>
      </c>
      <c r="B9" s="38" t="inlineStr">
        <is>
          <t>Fernández Navarro, Lucía</t>
        </is>
      </c>
      <c r="C9" s="50">
        <f>'Panel de Control'!L13</f>
        <v/>
      </c>
      <c r="D9" s="20" t="inlineStr">
        <is>
          <t>Frontend Solutions Andalucía</t>
        </is>
      </c>
      <c r="E9" s="20" t="inlineStr">
        <is>
          <t>Dña. Silvia Valenzuela</t>
        </is>
      </c>
      <c r="F9" s="21" t="n">
        <v>71</v>
      </c>
      <c r="G9" s="18">
        <f>IF(C9&gt;=5, "APTO", "PENDIENTE")</f>
        <v/>
      </c>
      <c r="H9" s="21">
        <f>IF(C9&lt;5, "RA2, RA4", "Ninguno")</f>
        <v/>
      </c>
      <c r="I9" s="39" t="inlineStr"/>
      <c r="J9" s="62">
        <f>IF(ISBLANK(I9), C9, MAX(C9, I9))</f>
        <v/>
      </c>
    </row>
    <row r="10" ht="20" customHeight="1">
      <c r="A10" s="13" t="n">
        <v>6</v>
      </c>
      <c r="B10" s="34" t="inlineStr">
        <is>
          <t>García Serrano, David</t>
        </is>
      </c>
      <c r="C10" s="50">
        <f>'Panel de Control'!L14</f>
        <v/>
      </c>
      <c r="D10" s="12" t="inlineStr">
        <is>
          <t>WebCraft Studio S.L.</t>
        </is>
      </c>
      <c r="E10" s="12" t="inlineStr">
        <is>
          <t>D. Alejandro Montes</t>
        </is>
      </c>
      <c r="F10" s="13" t="n">
        <v>71</v>
      </c>
      <c r="G10" s="10">
        <f>IF(C10&gt;=5, "APTO", "PENDIENTE")</f>
        <v/>
      </c>
      <c r="H10" s="13">
        <f>IF(C10&lt;5, "RA2, RA4", "Ninguno")</f>
        <v/>
      </c>
      <c r="I10" s="35" t="inlineStr"/>
      <c r="J10" s="62">
        <f>IF(ISBLANK(I10), C10, MAX(C10, I10))</f>
        <v/>
      </c>
    </row>
    <row r="11" ht="20" customHeight="1">
      <c r="A11" s="21" t="n">
        <v>7</v>
      </c>
      <c r="B11" s="38" t="inlineStr">
        <is>
          <t>Herrera Cruz, Marta</t>
        </is>
      </c>
      <c r="C11" s="50">
        <f>'Panel de Control'!L15</f>
        <v/>
      </c>
      <c r="D11" s="20" t="inlineStr">
        <is>
          <t>Frontend Solutions Andalucía</t>
        </is>
      </c>
      <c r="E11" s="20" t="inlineStr">
        <is>
          <t>Dña. Silvia Valenzuela</t>
        </is>
      </c>
      <c r="F11" s="21" t="n">
        <v>71</v>
      </c>
      <c r="G11" s="18">
        <f>IF(C11&gt;=5, "APTO", "PENDIENTE")</f>
        <v/>
      </c>
      <c r="H11" s="21">
        <f>IF(C11&lt;5, "RA2, RA4", "Ninguno")</f>
        <v/>
      </c>
      <c r="I11" s="39" t="inlineStr"/>
      <c r="J11" s="62">
        <f>IF(ISBLANK(I11), C11, MAX(C11, I11))</f>
        <v/>
      </c>
    </row>
    <row r="12" ht="20" customHeight="1">
      <c r="A12" s="13" t="n">
        <v>8</v>
      </c>
      <c r="B12" s="34" t="inlineStr">
        <is>
          <t>Jiménez Ortiz, Pablo</t>
        </is>
      </c>
      <c r="C12" s="50">
        <f>'Panel de Control'!L16</f>
        <v/>
      </c>
      <c r="D12" s="12" t="inlineStr">
        <is>
          <t>WebCraft Studio S.L.</t>
        </is>
      </c>
      <c r="E12" s="12" t="inlineStr">
        <is>
          <t>D. Alejandro Montes</t>
        </is>
      </c>
      <c r="F12" s="13" t="n">
        <v>71</v>
      </c>
      <c r="G12" s="10">
        <f>IF(C12&gt;=5, "APTO", "PENDIENTE")</f>
        <v/>
      </c>
      <c r="H12" s="13">
        <f>IF(C12&lt;5, "RA2, RA4", "Ninguno")</f>
        <v/>
      </c>
      <c r="I12" s="35" t="inlineStr"/>
      <c r="J12" s="62">
        <f>IF(ISBLANK(I12), C12, MAX(C12, I12))</f>
        <v/>
      </c>
    </row>
    <row r="13" ht="20" customHeight="1">
      <c r="A13" s="21" t="n">
        <v>9</v>
      </c>
      <c r="B13" s="38" t="inlineStr">
        <is>
          <t>López Molina, Sara</t>
        </is>
      </c>
      <c r="C13" s="50">
        <f>'Panel de Control'!L17</f>
        <v/>
      </c>
      <c r="D13" s="20" t="inlineStr">
        <is>
          <t>Frontend Solutions Andalucía</t>
        </is>
      </c>
      <c r="E13" s="20" t="inlineStr">
        <is>
          <t>Dña. Silvia Valenzuela</t>
        </is>
      </c>
      <c r="F13" s="21" t="n">
        <v>71</v>
      </c>
      <c r="G13" s="18">
        <f>IF(C13&gt;=5, "APTO", "PENDIENTE")</f>
        <v/>
      </c>
      <c r="H13" s="21">
        <f>IF(C13&lt;5, "RA2, RA4", "Ninguno")</f>
        <v/>
      </c>
      <c r="I13" s="39" t="inlineStr"/>
      <c r="J13" s="62">
        <f>IF(ISBLANK(I13), C13, MAX(C13, I13))</f>
        <v/>
      </c>
    </row>
    <row r="14" ht="20" customHeight="1">
      <c r="A14" s="13" t="n">
        <v>10</v>
      </c>
      <c r="B14" s="34" t="inlineStr">
        <is>
          <t>Martín Vega, Javier</t>
        </is>
      </c>
      <c r="C14" s="50">
        <f>'Panel de Control'!L18</f>
        <v/>
      </c>
      <c r="D14" s="12" t="inlineStr">
        <is>
          <t>WebCraft Studio S.L.</t>
        </is>
      </c>
      <c r="E14" s="12" t="inlineStr">
        <is>
          <t>D. Alejandro Montes</t>
        </is>
      </c>
      <c r="F14" s="13" t="n">
        <v>71</v>
      </c>
      <c r="G14" s="10">
        <f>IF(C14&gt;=5, "APTO", "PENDIENTE")</f>
        <v/>
      </c>
      <c r="H14" s="13">
        <f>IF(C14&lt;5, "RA2, RA4", "Ninguno")</f>
        <v/>
      </c>
      <c r="I14" s="35" t="inlineStr"/>
      <c r="J14" s="62">
        <f>IF(ISBLANK(I14), C14, MAX(C14, I14))</f>
        <v/>
      </c>
    </row>
    <row r="15" ht="20" customHeight="1">
      <c r="A15" s="21" t="n">
        <v>11</v>
      </c>
      <c r="B15" s="38" t="inlineStr">
        <is>
          <t>Navarro Gil, Ana</t>
        </is>
      </c>
      <c r="C15" s="50">
        <f>'Panel de Control'!L19</f>
        <v/>
      </c>
      <c r="D15" s="20" t="inlineStr">
        <is>
          <t>Frontend Solutions Andalucía</t>
        </is>
      </c>
      <c r="E15" s="20" t="inlineStr">
        <is>
          <t>Dña. Silvia Valenzuela</t>
        </is>
      </c>
      <c r="F15" s="21" t="n">
        <v>71</v>
      </c>
      <c r="G15" s="18">
        <f>IF(C15&gt;=5, "APTO", "PENDIENTE")</f>
        <v/>
      </c>
      <c r="H15" s="21">
        <f>IF(C15&lt;5, "RA2, RA4", "Ninguno")</f>
        <v/>
      </c>
      <c r="I15" s="39" t="inlineStr"/>
      <c r="J15" s="62">
        <f>IF(ISBLANK(I15), C15, MAX(C15, I15))</f>
        <v/>
      </c>
    </row>
    <row r="16" ht="20" customHeight="1">
      <c r="A16" s="13" t="n">
        <v>12</v>
      </c>
      <c r="B16" s="34" t="inlineStr">
        <is>
          <t>Pérez Rubio, Álvaro</t>
        </is>
      </c>
      <c r="C16" s="50">
        <f>'Panel de Control'!L20</f>
        <v/>
      </c>
      <c r="D16" s="12" t="inlineStr">
        <is>
          <t>WebCraft Studio S.L.</t>
        </is>
      </c>
      <c r="E16" s="12" t="inlineStr">
        <is>
          <t>D. Alejandro Montes</t>
        </is>
      </c>
      <c r="F16" s="13" t="n">
        <v>71</v>
      </c>
      <c r="G16" s="10">
        <f>IF(C16&gt;=5, "APTO", "PENDIENTE")</f>
        <v/>
      </c>
      <c r="H16" s="13">
        <f>IF(C16&lt;5, "RA2, RA4", "Ninguno")</f>
        <v/>
      </c>
      <c r="I16" s="35" t="inlineStr"/>
      <c r="J16" s="62">
        <f>IF(ISBLANK(I16), C16, MAX(C16, I16))</f>
        <v/>
      </c>
    </row>
    <row r="17" ht="20" customHeight="1">
      <c r="A17" s="21" t="n">
        <v>13</v>
      </c>
      <c r="B17" s="38" t="inlineStr">
        <is>
          <t>Ramírez Soto, Carmen</t>
        </is>
      </c>
      <c r="C17" s="50">
        <f>'Panel de Control'!L21</f>
        <v/>
      </c>
      <c r="D17" s="20" t="inlineStr">
        <is>
          <t>Frontend Solutions Andalucía</t>
        </is>
      </c>
      <c r="E17" s="20" t="inlineStr">
        <is>
          <t>Dña. Silvia Valenzuela</t>
        </is>
      </c>
      <c r="F17" s="21" t="n">
        <v>71</v>
      </c>
      <c r="G17" s="18">
        <f>IF(C17&gt;=5, "APTO", "PENDIENTE")</f>
        <v/>
      </c>
      <c r="H17" s="21">
        <f>IF(C17&lt;5, "RA2, RA4", "Ninguno")</f>
        <v/>
      </c>
      <c r="I17" s="39" t="inlineStr"/>
      <c r="J17" s="62">
        <f>IF(ISBLANK(I17), C17, MAX(C17, I17))</f>
        <v/>
      </c>
    </row>
    <row r="18" ht="20" customHeight="1">
      <c r="A18" s="13" t="n">
        <v>14</v>
      </c>
      <c r="B18" s="34" t="inlineStr">
        <is>
          <t>Sánchez Vidal, Daniel</t>
        </is>
      </c>
      <c r="C18" s="50">
        <f>'Panel de Control'!L22</f>
        <v/>
      </c>
      <c r="D18" s="12" t="inlineStr">
        <is>
          <t>WebCraft Studio S.L.</t>
        </is>
      </c>
      <c r="E18" s="12" t="inlineStr">
        <is>
          <t>D. Alejandro Montes</t>
        </is>
      </c>
      <c r="F18" s="13" t="n">
        <v>71</v>
      </c>
      <c r="G18" s="10">
        <f>IF(C18&gt;=5, "APTO", "PENDIENTE")</f>
        <v/>
      </c>
      <c r="H18" s="13">
        <f>IF(C18&lt;5, "RA2, RA4", "Ninguno")</f>
        <v/>
      </c>
      <c r="I18" s="35" t="inlineStr"/>
      <c r="J18" s="62">
        <f>IF(ISBLANK(I18), C18, MAX(C18, I18))</f>
        <v/>
      </c>
    </row>
    <row r="19" ht="20" customHeight="1">
      <c r="A19" s="21" t="n">
        <v>15</v>
      </c>
      <c r="B19" s="38" t="inlineStr">
        <is>
          <t>Torres Lozano, Irene</t>
        </is>
      </c>
      <c r="C19" s="50">
        <f>'Panel de Control'!L23</f>
        <v/>
      </c>
      <c r="D19" s="20" t="inlineStr">
        <is>
          <t>Frontend Solutions Andalucía</t>
        </is>
      </c>
      <c r="E19" s="20" t="inlineStr">
        <is>
          <t>Dña. Silvia Valenzuela</t>
        </is>
      </c>
      <c r="F19" s="21" t="n">
        <v>71</v>
      </c>
      <c r="G19" s="18">
        <f>IF(C19&gt;=5, "APTO", "PENDIENTE")</f>
        <v/>
      </c>
      <c r="H19" s="21">
        <f>IF(C19&lt;5, "RA2, RA4", "Ninguno")</f>
        <v/>
      </c>
      <c r="I19" s="39" t="inlineStr"/>
      <c r="J19" s="62">
        <f>IF(ISBLANK(I19), C19, MAX(C19, I19))</f>
        <v/>
      </c>
    </row>
  </sheetData>
  <mergeCells count="2">
    <mergeCell ref="A1:J1"/>
    <mergeCell ref="A2:J2"/>
  </mergeCells>
  <conditionalFormatting sqref="J5:J19">
    <cfRule type="cellIs" priority="1" operator="greaterThanOrEqual" dxfId="0" stopIfTrue="1">
      <formula>5.0</formula>
    </cfRule>
    <cfRule type="cellIs" priority="2" operator="lessThan" dxfId="1" stopIfTrue="1">
      <formula>5.0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6" customWidth="1" min="1" max="1"/>
    <col width="85" customWidth="1" min="2" max="2"/>
    <col width="12" customWidth="1" min="3" max="3"/>
    <col width="12" customWidth="1" min="4" max="4"/>
    <col width="12" customWidth="1" min="5" max="5"/>
    <col width="12" customWidth="1" min="6" max="6"/>
    <col width="12" customWidth="1" min="7" max="7"/>
  </cols>
  <sheetData>
    <row r="1" ht="36" customHeight="1">
      <c r="A1" s="1" t="inlineStr">
        <is>
          <t>GUÍA DE USO Y ARQUITECTURA DEL SISTEMA DE EVALUACIÓN — DIW (2º DAW)</t>
        </is>
      </c>
    </row>
    <row r="3" ht="26" customHeight="1">
      <c r="B3" s="63" t="inlineStr">
        <is>
          <t>1. Filosofía y Funcionamiento Dinámico</t>
        </is>
      </c>
    </row>
    <row r="4" ht="108" customHeight="1">
      <c r="B4" s="64" t="inlineStr">
        <is>
          <t>Esta hoja de cálculo implementa un motor de evaluación competencial bidireccional completamente automatizado para DIW:
• La 'Matriz Criterios' contiene los 45 Criterios de Evaluación oficiales agrupados en los 6 Resultados de Aprendizaje.
• En cualquier momento del curso puedes marcar o desmarcar con una 'X' qué criterios evalúa cada tarea o examen.
• En la FILA 52 se calcula automáticamente la SUMA EXACTA DE LOS PESOS de los criterios marcados con 'X' para esa tarea.
• En la FILA 53 se calcula el % DE PONDERACIÓN EN EL TRIMESTRE, normalizado a 100% (para que el boletín de notas trimestral sume 100%).
• El motor recalcula en tiempo real las notas individuales de cada criterio, el avance de cada RA y las notas trimestrales y finales.</t>
        </is>
      </c>
    </row>
    <row r="6" ht="26" customHeight="1">
      <c r="B6" s="63" t="inlineStr">
        <is>
          <t>2. Flujo de Trabajo para el Docente</t>
        </is>
      </c>
    </row>
    <row r="7" ht="234" customHeight="1">
      <c r="B7" s="64" t="inlineStr">
        <is>
          <t>PASO 1: Configurar la Matriz Criterios
Revisa las columnas H a V (tareas T01 a T15). Coloca una 'X' en la fila del criterio que evalúe dicha tarea.
La fila 51 te indica cuántos criterios evalúa cada tarea.
La fila 52 calcula dinámicamente la suma directa de los pesos de dichos criterios sobre el total del módulo.
La fila 53 rebalancea automáticamente los porcentajes dentro de cada trimestre sumando exactamente el 100%.
PASO 2: Introducir Calificaciones en 'Registro Notas'
Introduce las notas (0.00 a 10.00) obtenidas por los alumnos en cada tarea (columnas D a R).
Las notas de 1º y 2º Trimestre se calculan automáticamente en las columnas S y T a partir de los pesos derivados de los criterios.
PASO 3: Supervisar el 'Panel de Control'
Observa las tarjetas de KPIs (Alumnos, Aprobados, Suspensos, Nota Media, Tasa de Éxito) y la tabla consolidada
con la calificación oficial en marzo y la autorización automática para la estancia Dual en empresa (71 h).</t>
        </is>
      </c>
    </row>
    <row r="9" ht="26" customHeight="1">
      <c r="B9" s="63" t="inlineStr">
        <is>
          <t>3. Robustez Matemática (Sin Ceros Prematuros)</t>
        </is>
      </c>
    </row>
    <row r="10" ht="72" customHeight="1">
      <c r="B10" s="64" t="inlineStr">
        <is>
          <t>La fórmula implementada en cada criterio utiliza la función ISNUMBER combinada con SUMPRODUCT:
Solo se promedian aquellas tareas que tienen una 'X' Y QUE ADEMÁS TIENEN NOTA INTRODUCIDA.
Esto evita que un alumno aparezca con una nota suspensa en un criterio a principio de curso simplemente
porque las tareas del segundo trimestre todavía no se han impartido o calificado.</t>
        </is>
      </c>
    </row>
    <row r="12" ht="26" customHeight="1">
      <c r="B12" s="63" t="inlineStr">
        <is>
          <t>4. Marco Normativo Integrado</t>
        </is>
      </c>
    </row>
    <row r="13" ht="90" customHeight="1">
      <c r="B13" s="64" t="inlineStr">
        <is>
          <t>• Ley Orgánica 3/2022 y Real Decreto 659/2023 (Ordenación del Sistema de Formación Profesional).
• Real Decreto 687/2010 y Real Decreto 405/2023 / RD 500/2024 (Currículo oficial y competencias de DAW).
• Decreto 104/2024 (Ordenación de FP en Andalucía, derogando el Decreto 436/2008).
• Orden de 18 de septiembre de 2025 (Evaluación y acreditación del alumnado de FP en Andalucía).
• Orden de 26 de septiembre de 2025 (Regulación de la formación dual y estancias en empresa en Andalucía: 71 h DIW).</t>
        </is>
      </c>
    </row>
  </sheetData>
  <mergeCells count="9">
    <mergeCell ref="B3:G3"/>
    <mergeCell ref="B10:G10"/>
    <mergeCell ref="A1:G1"/>
    <mergeCell ref="B9:G9"/>
    <mergeCell ref="B4:G4"/>
    <mergeCell ref="B12:G12"/>
    <mergeCell ref="B13:G13"/>
    <mergeCell ref="B7:G7"/>
    <mergeCell ref="B6: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2026-10-04T16:12:40Z</dcterms:created>
  <dcterms:modified xmlns:dcterms="http://purl.org/dc/terms/" xmlns:xsi="http://www.w3.org/2001/XMLSchema-instance" xsi:type="dcterms:W3CDTF">2026-10-04T16:12:40Z</dcterms:modified>
</cp:coreProperties>
</file>